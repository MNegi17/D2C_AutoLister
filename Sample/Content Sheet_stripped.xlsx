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arketplaceD2C" sheetId="1" state="visible" r:id="rId1"/>
    <sheet name="Keyhighlight Content" sheetId="2" state="visible" r:id="rId2"/>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Tahoma"/>
      <b val="1"/>
      <color theme="1"/>
      <sz val="11"/>
    </font>
    <font>
      <name val="Tahoma"/>
      <color theme="1"/>
      <sz val="11"/>
    </font>
    <font>
      <name val="Aptos Narrow"/>
      <color theme="1"/>
      <sz val="11"/>
    </font>
    <font>
      <name val="Arial"/>
      <color theme="1"/>
      <sz val="11"/>
    </font>
    <font>
      <name val="Arial"/>
      <color theme="1"/>
      <scheme val="minor"/>
    </font>
    <font>
      <name val="Arial"/>
      <b val="1"/>
      <color rgb="FF000000"/>
      <sz val="14"/>
    </font>
    <font>
      <name val="Arial"/>
      <color theme="1"/>
      <sz val="11"/>
      <scheme val="minor"/>
    </font>
    <font>
      <name val="Arial"/>
      <color theme="1"/>
      <sz val="10"/>
      <scheme val="minor"/>
    </font>
    <font>
      <name val="Arial"/>
      <color theme="1"/>
    </font>
    <font>
      <name val="Tahoma"/>
      <color theme="1"/>
    </font>
  </fonts>
  <fills count="4">
    <fill>
      <patternFill/>
    </fill>
    <fill>
      <patternFill patternType="lightGray"/>
    </fill>
    <fill>
      <patternFill patternType="solid">
        <fgColor rgb="FFC0E6F5"/>
        <bgColor rgb="FFC0E6F5"/>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1">
    <xf numFmtId="0" fontId="0" fillId="0" borderId="0" applyAlignment="1" pivotButton="0" quotePrefix="0" xfId="0">
      <alignment vertical="bottom"/>
    </xf>
    <xf numFmtId="0" fontId="1" fillId="2" borderId="1" applyAlignment="1" pivotButton="0" quotePrefix="0" xfId="0">
      <alignment horizontal="center" vertical="bottom" wrapText="1"/>
    </xf>
    <xf numFmtId="0" fontId="1" fillId="2" borderId="1" applyAlignment="1" pivotButton="0" quotePrefix="0" xfId="0">
      <alignment horizontal="center" vertical="bottom" wrapText="1"/>
    </xf>
    <xf numFmtId="0" fontId="1" fillId="2" borderId="1" applyAlignment="1" pivotButton="0" quotePrefix="0" xfId="0">
      <alignment horizontal="left" vertical="bottom" wrapText="1"/>
    </xf>
    <xf numFmtId="0" fontId="1" fillId="2" borderId="1" applyAlignment="1" pivotButton="0" quotePrefix="0" xfId="0">
      <alignment horizontal="center" vertical="bottom"/>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wrapText="1"/>
    </xf>
    <xf numFmtId="0" fontId="5" fillId="0" borderId="1" applyAlignment="1" pivotButton="0" quotePrefix="0" xfId="0">
      <alignment horizontal="left" vertical="center" wrapText="1"/>
    </xf>
    <xf numFmtId="0" fontId="5" fillId="0" borderId="1" applyAlignment="1" pivotButton="0" quotePrefix="0" xfId="0">
      <alignment horizontal="left" vertical="center"/>
    </xf>
    <xf numFmtId="0" fontId="5" fillId="0" borderId="0" applyAlignment="1" pivotButton="0" quotePrefix="0" xfId="0">
      <alignment horizontal="left" vertical="center"/>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5" fillId="0" borderId="0" applyAlignment="1" pivotButton="0" quotePrefix="0" xfId="0">
      <alignment horizontal="left" vertical="center" wrapText="1"/>
    </xf>
    <xf numFmtId="0" fontId="5" fillId="0" borderId="1" applyAlignment="1" pivotButton="0" quotePrefix="0" xfId="0">
      <alignment wrapText="1"/>
    </xf>
    <xf numFmtId="0" fontId="5" fillId="0" borderId="1" applyAlignment="1" pivotButton="0" quotePrefix="0" xfId="0">
      <alignment horizontal="center" wrapText="1"/>
    </xf>
    <xf numFmtId="0" fontId="2" fillId="3" borderId="1" applyAlignment="1" pivotButton="0" quotePrefix="0" xfId="0">
      <alignment horizontal="center" vertical="bottom" wrapText="1"/>
    </xf>
    <xf numFmtId="0" fontId="4" fillId="3" borderId="1" applyAlignment="1" pivotButton="0" quotePrefix="0" xfId="0">
      <alignment horizontal="center" vertical="bottom" wrapText="1"/>
    </xf>
    <xf numFmtId="0" fontId="5" fillId="0" borderId="1" applyAlignment="1" pivotButton="0" quotePrefix="0" xfId="0">
      <alignment horizontal="left" wrapText="1"/>
    </xf>
    <xf numFmtId="0" fontId="5" fillId="0" borderId="1" applyAlignment="1" pivotButton="0" quotePrefix="0" xfId="0">
      <alignment/>
    </xf>
    <xf numFmtId="0" fontId="3" fillId="0" borderId="1" applyAlignment="1" pivotButton="0" quotePrefix="0" xfId="0">
      <alignment horizontal="center" vertical="bottom" wrapText="1"/>
    </xf>
    <xf numFmtId="0" fontId="2" fillId="0" borderId="1" applyAlignment="1" pivotButton="0" quotePrefix="0" xfId="0">
      <alignment horizontal="center" vertical="bottom" wrapText="1"/>
    </xf>
    <xf numFmtId="0" fontId="4" fillId="0" borderId="1" applyAlignment="1" pivotButton="0" quotePrefix="0" xfId="0">
      <alignment horizontal="center" vertical="bottom" wrapText="1"/>
    </xf>
    <xf numFmtId="0" fontId="4" fillId="3" borderId="1" applyAlignment="1" pivotButton="0" quotePrefix="0" xfId="0">
      <alignment horizontal="center" vertical="bottom" wrapText="1"/>
    </xf>
    <xf numFmtId="0" fontId="3" fillId="3" borderId="1" applyAlignment="1" pivotButton="0" quotePrefix="0" xfId="0">
      <alignment horizontal="center" vertical="bottom" wrapText="1"/>
    </xf>
    <xf numFmtId="0" fontId="2" fillId="0" borderId="1" applyAlignment="1" pivotButton="0" quotePrefix="0" xfId="0">
      <alignment horizontal="center" wrapText="1"/>
    </xf>
    <xf numFmtId="0" fontId="7" fillId="0" borderId="1" applyAlignment="1" pivotButton="0" quotePrefix="0" xfId="0">
      <alignment horizontal="center" wrapText="1"/>
    </xf>
    <xf numFmtId="0" fontId="7" fillId="0" borderId="1" applyAlignment="1" pivotButton="0" quotePrefix="0" xfId="0">
      <alignment horizontal="center" wrapText="1"/>
    </xf>
    <xf numFmtId="0" fontId="7" fillId="0" borderId="1" applyAlignment="1" pivotButton="0" quotePrefix="0" xfId="0">
      <alignment horizontal="center" wrapText="1"/>
    </xf>
    <xf numFmtId="0" fontId="5" fillId="0" borderId="0" applyAlignment="1" pivotButton="0" quotePrefix="0" xfId="0">
      <alignment wrapText="1"/>
    </xf>
    <xf numFmtId="0" fontId="4" fillId="0" borderId="1" applyAlignment="1" pivotButton="0" quotePrefix="0" xfId="0">
      <alignment horizontal="center" vertical="bottom" wrapText="1"/>
    </xf>
    <xf numFmtId="0" fontId="7" fillId="0" borderId="1" applyAlignment="1" pivotButton="0" quotePrefix="0" xfId="0">
      <alignment horizontal="center" wrapText="1"/>
    </xf>
    <xf numFmtId="0" fontId="5" fillId="0" borderId="0" applyAlignment="1" pivotButton="0" quotePrefix="0" xfId="0">
      <alignment wrapText="1"/>
    </xf>
    <xf numFmtId="0" fontId="8" fillId="0" borderId="1" applyAlignment="1" pivotButton="0" quotePrefix="0" xfId="0">
      <alignment horizontal="left" wrapText="1"/>
    </xf>
    <xf numFmtId="49" fontId="7" fillId="0" borderId="1" applyAlignment="1" pivotButton="0" quotePrefix="0" xfId="0">
      <alignment horizontal="center" wrapText="1"/>
    </xf>
    <xf numFmtId="0" fontId="2" fillId="3" borderId="1" applyAlignment="1" pivotButton="0" quotePrefix="0" xfId="0">
      <alignment horizontal="center" wrapText="1"/>
    </xf>
    <xf numFmtId="0" fontId="4" fillId="0" borderId="1" applyAlignment="1" pivotButton="0" quotePrefix="0" xfId="0">
      <alignment horizontal="center" wrapText="1"/>
    </xf>
    <xf numFmtId="0" fontId="4" fillId="0" borderId="1" applyAlignment="1" pivotButton="0" quotePrefix="0" xfId="0">
      <alignment horizontal="center" wrapText="1"/>
    </xf>
    <xf numFmtId="0" fontId="7" fillId="0" borderId="0" applyAlignment="1" pivotButton="0" quotePrefix="0" xfId="0">
      <alignment horizontal="center" wrapText="1"/>
    </xf>
    <xf numFmtId="0" fontId="5" fillId="0" borderId="1" applyAlignment="1" pivotButton="0" quotePrefix="0" xfId="0">
      <alignment horizontal="center" wrapText="1"/>
    </xf>
    <xf numFmtId="0" fontId="7" fillId="0" borderId="0" applyAlignment="1" pivotButton="0" quotePrefix="0" xfId="0">
      <alignment horizontal="center" wrapText="1"/>
    </xf>
    <xf numFmtId="0" fontId="9" fillId="0" borderId="1" applyAlignment="1" pivotButton="0" quotePrefix="0" xfId="0">
      <alignment vertical="bottom" wrapText="1"/>
    </xf>
    <xf numFmtId="0" fontId="9" fillId="0" borderId="1" applyAlignment="1" pivotButton="0" quotePrefix="0" xfId="0">
      <alignment vertical="bottom"/>
    </xf>
    <xf numFmtId="0" fontId="9" fillId="0" borderId="1" applyAlignment="1" pivotButton="0" quotePrefix="0" xfId="0">
      <alignment vertical="bottom" wrapText="1"/>
    </xf>
    <xf numFmtId="49" fontId="7" fillId="0" borderId="1" applyAlignment="1" pivotButton="0" quotePrefix="0" xfId="0">
      <alignment horizontal="center" wrapText="1"/>
    </xf>
    <xf numFmtId="0" fontId="5" fillId="0" borderId="1" applyAlignment="1" pivotButton="0" quotePrefix="0" xfId="0">
      <alignment wrapText="1"/>
    </xf>
    <xf numFmtId="0" fontId="5" fillId="0" borderId="1" applyAlignment="1" pivotButton="0" quotePrefix="0" xfId="0">
      <alignment horizontal="left" wrapText="1"/>
    </xf>
    <xf numFmtId="0" fontId="5" fillId="0" borderId="0" pivotButton="0" quotePrefix="0" xfId="0"/>
    <xf numFmtId="0" fontId="5" fillId="0" borderId="1" applyAlignment="1" pivotButton="0" quotePrefix="0" xfId="0">
      <alignment/>
    </xf>
    <xf numFmtId="0" fontId="2" fillId="0" borderId="1" applyAlignment="1" pivotButton="0" quotePrefix="0" xfId="0">
      <alignment horizontal="center" wrapText="1"/>
    </xf>
    <xf numFmtId="0" fontId="10" fillId="0" borderId="1" applyAlignment="1" pivotButton="0" quotePrefix="0" xfId="0">
      <alignment horizontal="center" wrapText="1"/>
    </xf>
    <xf numFmtId="0" fontId="10" fillId="0" borderId="1" pivotButton="0" quotePrefix="0" xfId="0"/>
    <xf numFmtId="0" fontId="2" fillId="0" borderId="0" applyAlignment="1" pivotButton="0" quotePrefix="0" xfId="0">
      <alignment horizontal="center" wrapText="1"/>
    </xf>
    <xf numFmtId="0" fontId="10" fillId="0" borderId="0" pivotButton="0" quotePrefix="0" xfId="0"/>
    <xf numFmtId="0" fontId="10" fillId="0" borderId="0" applyAlignment="1" pivotButton="0" quotePrefix="0" xfId="0">
      <alignment horizontal="center" wrapText="1"/>
    </xf>
    <xf numFmtId="0" fontId="10" fillId="0" borderId="0" applyAlignment="1" pivotButton="0" quotePrefix="0" xfId="0">
      <alignment wrapText="1"/>
    </xf>
    <xf numFmtId="0" fontId="10" fillId="0" borderId="0" applyAlignment="1" pivotButton="0" quotePrefix="0" xfId="0">
      <alignment horizont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C1005"/>
  <sheetViews>
    <sheetView workbookViewId="0">
      <pane xSplit="7" ySplit="1" topLeftCell="H2" activePane="bottomRight" state="frozen"/>
      <selection pane="topRight" activeCell="H1" sqref="H1"/>
      <selection pane="bottomLeft" activeCell="A2" sqref="A2"/>
      <selection pane="bottomRight" activeCell="H2" sqref="H2"/>
    </sheetView>
  </sheetViews>
  <sheetFormatPr baseColWidth="8" defaultColWidth="12.63" defaultRowHeight="15.75" customHeight="1"/>
  <cols>
    <col width="14.38" customWidth="1" style="60" min="1" max="1"/>
    <col width="15.13" customWidth="1" style="60" min="2" max="2"/>
    <col width="11.75" customWidth="1" style="60" min="3" max="3"/>
    <col width="12.38" customWidth="1" style="60" min="4" max="4"/>
    <col width="10.88" customWidth="1" style="60" min="5" max="5"/>
    <col width="12.88" customWidth="1" style="60" min="6" max="6"/>
    <col width="23.38" customWidth="1" style="60" min="7" max="7"/>
    <col width="25" customWidth="1" style="60" min="8" max="12"/>
    <col width="31.63" customWidth="1" style="60" min="13" max="13"/>
    <col width="38" customWidth="1" style="60" min="14" max="14"/>
  </cols>
  <sheetData>
    <row r="1">
      <c r="A1" s="2" t="inlineStr">
        <is>
          <t>Product Image</t>
        </is>
      </c>
      <c r="B1" s="2" t="inlineStr">
        <is>
          <t>Item Name</t>
        </is>
      </c>
      <c r="C1" s="2" t="inlineStr">
        <is>
          <t>DIVISION</t>
        </is>
      </c>
      <c r="D1" s="2" t="inlineStr">
        <is>
          <t>CATEGORY</t>
        </is>
      </c>
      <c r="E1" s="2" t="inlineStr">
        <is>
          <t>GENDER</t>
        </is>
      </c>
      <c r="F1" s="2" t="inlineStr">
        <is>
          <t>SHADE NAME</t>
        </is>
      </c>
      <c r="G1" s="2" t="inlineStr">
        <is>
          <t>SKU</t>
        </is>
      </c>
      <c r="H1" s="2" t="inlineStr">
        <is>
          <t>Amazon Title</t>
        </is>
      </c>
      <c r="I1" s="2" t="inlineStr">
        <is>
          <t>Myntra Title (List View Name)</t>
        </is>
      </c>
      <c r="J1" s="3" t="inlineStr">
        <is>
          <t>PDP Name (Myntra)</t>
        </is>
      </c>
      <c r="K1" s="3" t="inlineStr">
        <is>
          <t>D2C Title</t>
        </is>
      </c>
      <c r="L1" s="3" t="inlineStr">
        <is>
          <t>Nykaa Title</t>
        </is>
      </c>
      <c r="M1" s="4" t="inlineStr">
        <is>
          <t>Bullet Points</t>
        </is>
      </c>
      <c r="N1" s="2" t="inlineStr">
        <is>
          <t>Description</t>
        </is>
      </c>
      <c r="O1" s="2" t="inlineStr">
        <is>
          <t>Key Hightlights</t>
        </is>
      </c>
    </row>
    <row r="2" ht="96.75" customHeight="1" s="60">
      <c r="A2" s="5" t="n"/>
      <c r="B2" s="6" t="inlineStr">
        <is>
          <t>PBTSFW002142</t>
        </is>
      </c>
      <c r="C2" s="7" t="inlineStr">
        <is>
          <t>APPAREL</t>
        </is>
      </c>
      <c r="D2" s="8" t="inlineStr">
        <is>
          <t>T-SHIRT</t>
        </is>
      </c>
      <c r="E2" s="7" t="inlineStr">
        <is>
          <t>KIDS BOYS</t>
        </is>
      </c>
      <c r="F2" s="7" t="inlineStr">
        <is>
          <t>ORANGE</t>
        </is>
      </c>
      <c r="G2" s="9" t="inlineStr">
        <is>
          <t>PBTSFW002142-ORANGE</t>
        </is>
      </c>
      <c r="H2" s="49" t="inlineStr">
        <is>
          <t>Purple United Kids Boys Cotton Rich Full Sleeve T-Shirt | Motivational Graphic Printed Premium Kids Wear | Soft Breathable Fabric &amp; Comfortable Regular Fit Casual T-Shirt for Boys</t>
        </is>
      </c>
      <c r="I2" s="14" t="inlineStr">
        <is>
          <t xml:space="preserve">Boys Regular Fit Casual T-Shirt </t>
        </is>
      </c>
      <c r="J2" s="14" t="inlineStr">
        <is>
          <t>Boys Cotton Rich Full Sleeve T-Shirt with Motivational Print</t>
        </is>
      </c>
      <c r="K2" s="14">
        <f>IFERROR(__xludf.DUMMYFUNCTION("AI(""Fill an appropriate value for this cell based on the table context"")"),"Kids Boys Full Sleeve T-Shirt in Orange with Motivational Graphic Print and Soft Cotton Fabric")</f>
        <v/>
      </c>
      <c r="L2" s="14">
        <f>IFERROR(__xludf.DUMMYFUNCTION("AI(""Fill an appropriate value for this cell based on the table context"")"),"Purple United Kids Boys Orange Full Sleeve T-Shirt with Motivational Graphic Print")</f>
        <v/>
      </c>
      <c r="M2" s="12" t="inlineStr">
        <is>
          <t>PREMIUM SOFT COTTON FABRIC: Made from breathable cotton-rich fabric, this t shirt for boys delivers lightweight comfort and a smooth hand feel, making it ideal for everyday kids wear while maintaining softness throughout extended wear.
SIGNATURE GRAPHIC PRINT DESIGN: Designed with bold graphic lettering at the back and a subtle “Believe in Yourself” print on the front, this boys tshirt combines positivity with modern style, making it stand out in kids clothes for boys.
COMFORT-FOCUSED REGULAR FIT: Designed with a relaxed regular fit that allows natural movement, this kids tshirt ensures flexibility and ease, supporting active routines without compromising on style.
FULL SLEEVE VERSATILITY: The full sleeve construction provides balanced coverage with breathable comfort, making this t shirt for kids boys suitable for daily wear across seasons.
LONG-LASTING COLOR &amp; DURABILITY: Made with quality stitching and durable fabric, this boys t shirt retains its vibrant orange color and print clarity even after multiple washes, offering dependable everyday kids wear.</t>
        </is>
      </c>
      <c r="N2" s="14" t="inlineStr">
        <is>
          <t xml:space="preserve">Bring confidence, comfort, and playful style together with this Purple United Kids Boys Orange Full Sleeve T-Shirt, thoughtfully designed for modern kids wear. Crafted from soft and breathable cotton fabric, this t shirt for boys delivers a smooth feel against the skin while ensuring lasting comfort throughout everyday activities. The vibrant orange shade adds energy and freshness, making it a standout addition to kids clothes for boys.
Designed with durability in mind, the fabric maintains its softness, structure, and color vibrancy even after repeated washes. The full sleeve design enhances versatility while adding a refined, premium look. Perfectly balancing comfort and style, this t-shirt becomes a reliable everyday essential in boys casual wear, offering effortless fashion for kids who love to move, explore, and express themselves confidently.
</t>
        </is>
      </c>
      <c r="O2" s="13" t="n"/>
      <c r="P2" s="13" t="n"/>
      <c r="Q2" s="13" t="n"/>
      <c r="R2" s="13" t="n"/>
      <c r="S2" s="13" t="n"/>
      <c r="T2" s="13" t="n"/>
      <c r="U2" s="13" t="n"/>
      <c r="V2" s="13" t="n"/>
      <c r="W2" s="13" t="n"/>
      <c r="X2" s="13" t="n"/>
      <c r="Y2" s="13" t="n"/>
      <c r="Z2" s="13" t="n"/>
      <c r="AA2" s="13" t="n"/>
      <c r="AB2" s="13" t="n"/>
      <c r="AC2" s="13" t="n"/>
    </row>
    <row r="3" ht="96.75" customHeight="1" s="60">
      <c r="A3" s="14" t="n"/>
      <c r="B3" s="6" t="inlineStr">
        <is>
          <t>PGTSFS002125</t>
        </is>
      </c>
      <c r="C3" s="7" t="inlineStr">
        <is>
          <t>APPAREL</t>
        </is>
      </c>
      <c r="D3" s="8" t="inlineStr">
        <is>
          <t>T-SHIRT</t>
        </is>
      </c>
      <c r="E3" s="7" t="inlineStr">
        <is>
          <t>KIDS GIRLS</t>
        </is>
      </c>
      <c r="F3" s="7" t="inlineStr">
        <is>
          <t>PEACH</t>
        </is>
      </c>
      <c r="G3" s="7" t="inlineStr">
        <is>
          <t>PGTSFS002125-PEACH</t>
        </is>
      </c>
      <c r="H3" s="49" t="inlineStr">
        <is>
          <t>Purple United Kids Girls Peach Cotton Full Sleeve T-Shirt | Shine Sparkle Graphic Design | Soft Breathable Premium Fabric | Elegant Flared Sleeve Detail | Comfortable Everyday Fashion Top for Girls</t>
        </is>
      </c>
      <c r="I3" s="14" t="inlineStr">
        <is>
          <t>Kids Girls Peach Full Sleeve T-Shirt</t>
        </is>
      </c>
      <c r="J3" s="14" t="inlineStr">
        <is>
          <t>Girls Peach Full Sleeve T-Shirt with Shine Sparkle Design</t>
        </is>
      </c>
      <c r="K3" s="14">
        <f>IFERROR(__xludf.DUMMYFUNCTION("AI(""Fill an appropriate value for this cell based on the table context"")"),"Kids Girls Full Sleeve T-Shirt in Peach with Shine Sparkle Graphic, Flared Sleeve Detail &amp; Soft Breathable Fabric Design")</f>
        <v/>
      </c>
      <c r="L3" s="14">
        <f>IFERROR(__xludf.DUMMYFUNCTION("AI(""Fill an appropriate value for this cell based on the table context"")"),"Purple United Kids Girls Peach Cotton Full Sleeve T-Shirt with Shine Sparkle Graphic and Flared Sleeves for Everyday Wear")</f>
        <v/>
      </c>
      <c r="M3" s="12" t="inlineStr">
        <is>
          <t>SOFT COTTON COMFORT: Crafted from breathable cotton fabric, this tshirt for girls offers a smooth and lightweight feel, ensuring lasting comfort for everyday wear while remaining gentle on delicate skin.
PLAYFUL GRAPHIC PRINT DESIGN: Designed with a cheerful “Shine Sparkle and Slay” front print featuring textured detailing, this girls tshirt adds a fun and expressive touch to kids clothes for girls while maintaining a premium look.
ELEGANT FLARED SLEEVE DETAILING: The full sleeves are finished with soft gathered cuffs and subtle flare styling, giving this girls top a stylish silhouette that blends comfort with modern fashion appeal.
RELAXED &amp; COMFORTABLE FIT: Tailored for easy movement, the relaxed fit allows flexibility and all-day ease, making this t shirt for girls suitable for casual wear and everyday styling.
DURABLE EVERYDAY QUALITY: High-quality stitching and color-retention fabric help maintain shape, softness, and print clarity even after repeated washing, ensuring dependable kids summer wear for girls.</t>
        </is>
      </c>
      <c r="N3" s="14" t="inlineStr">
        <is>
          <t xml:space="preserve">Add a playful charm to everyday kids wear with this Purple United Kids Girls Peach T-Shirt, thoughtfully designed to combine comfort with stylish detailing. Made from soft breathable cotton fabric, this girls’ t-shirt delivers a lightweight and smooth feel that keeps kids comfortable throughout daily activities. The refreshing peach tone enhances its soft premium look, while the “Shine Sparkle and Slay” graphic print brings a cheerful and confident personality to the design.
Featuring gently gathered sleeves with flared cuffs, this girls top introduces a fashionable silhouette that elevates casual dressing without compromising comfort. The relaxed fit supports easy movement, making it ideal for everyday outings and casual styling. Designed with durable construction and quality finishing, the fabric maintains its softness and vibrant appearance wash after wash. Perfectly balancing style and practicality, this tshirt for girls becomes a versatile addition to kids clothes for girls and an essential piece in modern casual wardrobes.
</t>
        </is>
      </c>
      <c r="O3" s="13" t="n"/>
      <c r="P3" s="13" t="n"/>
      <c r="Q3" s="13" t="n"/>
      <c r="R3" s="13" t="n"/>
      <c r="S3" s="13" t="n"/>
      <c r="T3" s="13" t="n"/>
      <c r="U3" s="13" t="n"/>
      <c r="V3" s="13" t="n"/>
      <c r="W3" s="13" t="n"/>
      <c r="X3" s="13" t="n"/>
      <c r="Y3" s="13" t="n"/>
      <c r="Z3" s="13" t="n"/>
      <c r="AA3" s="13" t="n"/>
      <c r="AB3" s="13" t="n"/>
      <c r="AC3" s="13" t="n"/>
    </row>
    <row r="4" ht="96.75" customHeight="1" s="60">
      <c r="A4" s="14" t="n"/>
      <c r="B4" s="6" t="inlineStr">
        <is>
          <t>PBTSHS002788</t>
        </is>
      </c>
      <c r="C4" s="7" t="inlineStr">
        <is>
          <t>APPAREL</t>
        </is>
      </c>
      <c r="D4" s="8" t="inlineStr">
        <is>
          <t>T-SHIRT</t>
        </is>
      </c>
      <c r="E4" s="7" t="inlineStr">
        <is>
          <t>KIDS BOYS</t>
        </is>
      </c>
      <c r="F4" s="7" t="inlineStr">
        <is>
          <t>TEAL</t>
        </is>
      </c>
      <c r="G4" s="7" t="inlineStr">
        <is>
          <t>PBTSHS002788-TEAL</t>
        </is>
      </c>
      <c r="H4" s="49" t="inlineStr">
        <is>
          <t>Purple United Kids Boys Teal Sporty Cotton T-Shirt | Soft Touch Cotton Fabric | High-Definition Print Finish with Flexible Comfort Fit | Active Play Ready Premium Kidswear</t>
        </is>
      </c>
      <c r="I4" s="14" t="inlineStr">
        <is>
          <t>Boys Teal Comfort Fit T-Shirt</t>
        </is>
      </c>
      <c r="J4" s="14" t="inlineStr">
        <is>
          <t>Boys Teal Sporty T-Shirt for Active Play Essential</t>
        </is>
      </c>
      <c r="K4" s="14">
        <f>IFERROR(__xludf.DUMMYFUNCTION("AI(""Fill an appropriate value for this cell based on the table context"")"),"Purple United Kids Boys Teal Sporty Cotton T-Shirt with Dynamic Racing Graphic Design and Comfort Fit")</f>
        <v/>
      </c>
      <c r="L4" s="14">
        <f>IFERROR(__xludf.DUMMYFUNCTION("AI(""Fill an appropriate value for this cell based on the table context"")"),"Purple United Kids Boys Teal Racing Graphic Printed Cotton T-Shirt with Comfort Fit for Active Play")</f>
        <v/>
      </c>
      <c r="M4" s="12" t="inlineStr">
        <is>
          <t>PREMIUM COTTON COMFORT: Crafted from soft breathable cotton fabric, this t shirt for kids boys delivers lightweight comfort and smooth skin feel, making it ideal for everyday kids wear while ensuring lasting freshness throughout active days.
DYNAMIC RACING GRAPHIC DESIGN: Featuring a bold racing-inspired print with vibrant car graphics and sporty typography, this boys tshirt adds energetic style and playful character, perfectly reflecting modern casual fashion for kids.
EVERYDAY COMFORT FIT: Designed with a relaxed silhouette, this tshirt for boys allows easy movement and flexibility, supporting active play while maintaining a clean, structured premium look.
DURABLE PRINT &amp; COLOR QUALITY: High-definition printing ensures long-lasting vibrancy and resistance to fading, keeping the graphic sharp and stylish even after repeated washing and regular wear.
REFINED BRAND FINISHING: Thoughtfully constructed with neat stitching, soft neckline finishing, and premium detailing that reflects Purple United’s commitment to elevated kids fashion and dependable everyday comfort.</t>
        </is>
      </c>
      <c r="N4" s="14" t="inlineStr">
        <is>
          <t>Designed for young trendsetters, this Purple United Kids Boys Teal T-Shirt blends playful energy with refined everyday comfort. Made from premium breathable cotton fabric, the t-shirt offers a soft touch and lightweight feel that keeps kids comfortable throughout daily activities. The rich teal color enhances its modern appeal, while the racing-inspired graphic print introduces a sporty personality that adds excitement to casual dressing.
Carefully tailored for ease of movement, the relaxed fit ensures flexibility without compromising on structure, making it a reliable choice for everyday kids wear. The smooth neckline construction and durable stitching reflect Purple United’s premium craftsmanship, ensuring lasting quality and shape retention over time. Designed to balance style, comfort, and durability, this boys t shirt becomes a versatile wardrobe essential, perfect for pairing with shorts, denim, or casual bottoms for effortless everyday fashion.</t>
        </is>
      </c>
      <c r="O4" s="13" t="n"/>
      <c r="P4" s="13" t="n"/>
      <c r="Q4" s="13" t="n"/>
      <c r="R4" s="13" t="n"/>
      <c r="S4" s="13" t="n"/>
      <c r="T4" s="13" t="n"/>
      <c r="U4" s="13" t="n"/>
      <c r="V4" s="13" t="n"/>
      <c r="W4" s="13" t="n"/>
      <c r="X4" s="13" t="n"/>
      <c r="Y4" s="13" t="n"/>
      <c r="Z4" s="13" t="n"/>
      <c r="AA4" s="13" t="n"/>
      <c r="AB4" s="13" t="n"/>
      <c r="AC4" s="13" t="n"/>
    </row>
    <row r="5" ht="96.75" customHeight="1" s="60">
      <c r="A5" s="15" t="n"/>
      <c r="B5" s="6" t="inlineStr">
        <is>
          <t>PBTSHS002794</t>
        </is>
      </c>
      <c r="C5" s="7" t="inlineStr">
        <is>
          <t>APPAREL</t>
        </is>
      </c>
      <c r="D5" s="8" t="inlineStr">
        <is>
          <t>T-SHIRT</t>
        </is>
      </c>
      <c r="E5" s="7" t="inlineStr">
        <is>
          <t>KIDS BOYS</t>
        </is>
      </c>
      <c r="F5" s="7" t="inlineStr">
        <is>
          <t>BLACK</t>
        </is>
      </c>
      <c r="G5" s="7" t="inlineStr">
        <is>
          <t>PBTSHS002794-BLACK</t>
        </is>
      </c>
      <c r="H5" s="49" t="inlineStr">
        <is>
          <t>Purple United Kids Boys Black Retro Gamer Printed T-Shirt | Cotton Knit Fabric with Retro Console Artwork | | Everyday Movement Fit</t>
        </is>
      </c>
      <c r="I5" s="14" t="inlineStr">
        <is>
          <t>Boys Black Cotton Rich T-Shirt</t>
        </is>
      </c>
      <c r="J5" s="14" t="inlineStr">
        <is>
          <t xml:space="preserve">Boys Gamer Statement Style T-Shirt with Retro Console Artwork
</t>
        </is>
      </c>
      <c r="K5" s="14">
        <f>IFERROR(__xludf.DUMMYFUNCTION("AI(""Fill an appropriate value for this cell based on the table context"")"),"Kids Boys T-Shirt in Black with Retro Gamer Graphic, Soft Cotton Fabric &amp; Comfortable Regular Fit")</f>
        <v/>
      </c>
      <c r="L5" s="14">
        <f>IFERROR(__xludf.DUMMYFUNCTION("AI(""Fill an appropriate value for this cell based on the table context"")"),"Purple United Kids Boys Black Cotton Rich T-Shirt with Retro Console Artwork and Regular Fit")</f>
        <v/>
      </c>
      <c r="M5" s="12" t="inlineStr">
        <is>
          <t>SOFT PREMIUM COTTON FABRIC: Made from breathable cotton fabric, this t shirt for kids boys delivers a smooth and lightweight feel that keeps kids comfortable throughout everyday activities and casual wear.
RETRO GAMER GRAPHIC DESIGN: Features a bold gaming-inspired controller print with modern typography that adds a playful yet stylish character, making this boys tshirt a standout choice in kids wear for boys.
COMFORT-DRIVEN REGULAR FIT: Designed for ease of movement, the relaxed fit allows flexibility while maintaining a neat silhouette, ensuring comfort during playtime and daily wear.
LONG-LASTING PRINT FINISH: High-quality printing enhances colour depth and detail clarity, helping the graphic remain vibrant even after multiple washes.
QUALITY STITCHING &amp; PREMIUM FINISHING: Carefully finished seams and a soft ribbed neckline enhance durability while providing a refined look suitable for everyday styling.</t>
        </is>
      </c>
      <c r="N5" s="14" t="inlineStr">
        <is>
          <t>Bring playful energy to everyday dressing with this kids boys black graphic t shirt designed for comfort and modern style. Crafted from soft cotton fabric, this t shirt boys offers breathable comfort while maintaining a clean and structured appearance. The Retro Gamer print adds a bold gaming-inspired identity, making it perfect for kids who enjoy expressive casual fashion.
The comfortable fit supports natural movement, while the premium print finish ensures long-lasting visual appeal. Designed with attention to fabric quality and detailing, this boys tshirt balances durability with style, making it an easy everyday essential for casual wear and kids summer wear boys collections.</t>
        </is>
      </c>
      <c r="O5" s="13" t="n"/>
      <c r="P5" s="13" t="n"/>
      <c r="Q5" s="13" t="n"/>
      <c r="R5" s="13" t="n"/>
      <c r="S5" s="13" t="n"/>
      <c r="T5" s="13" t="n"/>
      <c r="U5" s="13" t="n"/>
      <c r="V5" s="13" t="n"/>
      <c r="W5" s="13" t="n"/>
      <c r="X5" s="13" t="n"/>
      <c r="Y5" s="13" t="n"/>
      <c r="Z5" s="13" t="n"/>
      <c r="AA5" s="13" t="n"/>
      <c r="AB5" s="13" t="n"/>
      <c r="AC5" s="13" t="n"/>
    </row>
    <row r="6" ht="96.75" customHeight="1" s="60">
      <c r="A6" s="14" t="n"/>
      <c r="B6" s="6" t="inlineStr">
        <is>
          <t>PBTSHS002762</t>
        </is>
      </c>
      <c r="C6" s="7" t="inlineStr">
        <is>
          <t>APPAREL</t>
        </is>
      </c>
      <c r="D6" s="8" t="inlineStr">
        <is>
          <t>T-SHIRT</t>
        </is>
      </c>
      <c r="E6" s="7" t="inlineStr">
        <is>
          <t>KIDS BOYS</t>
        </is>
      </c>
      <c r="F6" s="7" t="inlineStr">
        <is>
          <t>ORANGE</t>
        </is>
      </c>
      <c r="G6" s="9" t="inlineStr">
        <is>
          <t>PBTSHS002762-ORANGE</t>
        </is>
      </c>
      <c r="H6" s="49" t="inlineStr">
        <is>
          <t>Purple United Kids Boys Orange Surf Rider Graphic T Shirt | Beach Inspired Artwork with Smooth Finish Kids Tshirt | Statement Boys Tshirt</t>
        </is>
      </c>
      <c r="I6" s="14" t="inlineStr">
        <is>
          <t>Boys Surf Rider Orange T-Shirt</t>
        </is>
      </c>
      <c r="J6" s="14" t="inlineStr">
        <is>
          <t>Boys Orange Summer T-Shirt with Beach Inspired Artwork</t>
        </is>
      </c>
      <c r="K6" s="14">
        <f>IFERROR(__xludf.DUMMYFUNCTION("AI(""Fill an appropriate value for this cell based on the table context"")"),"Kids Boys T-Shirt in Orange with Surf Rider Graphic, Breathable Cotton Jersey &amp; Comfortable Regular Fit")</f>
        <v/>
      </c>
      <c r="L6" s="14">
        <f>IFERROR(__xludf.DUMMYFUNCTION("AI(""Fill an appropriate value for this cell based on the table context"")"),"Purple United Kids Boys Orange Surf Rider Graphic T-Shirt with Beach Inspired Artwork and Regular Fit")</f>
        <v/>
      </c>
      <c r="M6" s="12" t="inlineStr">
        <is>
          <t>COTTON JERSEY COMFORT: Crafted in soft cotton jersey, this t shirt for kids boys offers a breathable feel with a smooth surface texture designed for all-day movement and lightweight comfort.
SURF-INSPIRED GRAPHIC STORY: Designed with a Surf Rider beach theme featuring jeep artwork, palm visuals, and playful typography, this boys tshirt captures a relaxed coastal aesthetic with a bold visual identity.
BALANCED EVERYDAY SILHOUETTE: The structured regular fit allows ease of movement while maintaining a clean shape, making it an effortless choice in kids wear for boys and modern casual styling.
HIGH-CLARITY PRINT STYLING: Premium print detailing enhances colour depth and edge definition, ensuring the artwork remains sharp and visually strong through repeated wear.
REFINED FINISHING DETAILS: Soft ribbed neckline, clean seam finishing, and durable stitching elevate the overall feel of this tshirt for boys, aligning with premium kidswear standards.</t>
        </is>
      </c>
      <c r="N6" s="14" t="inlineStr">
        <is>
          <t>Inspired by carefree beach energy, this Purple United Kids Boys Orange T-Shirt blends expressive design with refined everyday comfort. Made from breathable cotton jersey fabric, this kid tshirt delivers a soft hand feel while supporting active movement throughout the day. The Surf Rider artwork combines playful coastal elements with bold graphic placement, creating a distinctive look that stands apart from ordinary boys tshirts.
The vibrant orange base enhances the visual impact of the design, while the balanced fit maintains structure without restricting comfort. Designed as part of modern kids wear boy collections, this t shirt boys pairs durability with contemporary styling, making it a standout addition to kids summer wear boys wardrobes.</t>
        </is>
      </c>
      <c r="O6" s="13" t="n"/>
      <c r="P6" s="13" t="n"/>
      <c r="Q6" s="13" t="n"/>
      <c r="R6" s="13" t="n"/>
      <c r="S6" s="13" t="n"/>
      <c r="T6" s="13" t="n"/>
      <c r="U6" s="13" t="n"/>
      <c r="V6" s="13" t="n"/>
      <c r="W6" s="13" t="n"/>
      <c r="X6" s="13" t="n"/>
      <c r="Y6" s="13" t="n"/>
      <c r="Z6" s="13" t="n"/>
      <c r="AA6" s="13" t="n"/>
      <c r="AB6" s="13" t="n"/>
      <c r="AC6" s="13" t="n"/>
    </row>
    <row r="7" ht="96.75" customHeight="1" s="60">
      <c r="A7" s="14" t="n"/>
      <c r="B7" s="6" t="inlineStr">
        <is>
          <t>PBTSHS002789</t>
        </is>
      </c>
      <c r="C7" s="7" t="inlineStr">
        <is>
          <t>APPAREL</t>
        </is>
      </c>
      <c r="D7" s="8" t="inlineStr">
        <is>
          <t>T-SHIRT</t>
        </is>
      </c>
      <c r="E7" s="7" t="inlineStr">
        <is>
          <t>KIDS BOYS</t>
        </is>
      </c>
      <c r="F7" s="7" t="inlineStr">
        <is>
          <t>NAVY BLUE</t>
        </is>
      </c>
      <c r="G7" s="7" t="inlineStr">
        <is>
          <t>PBTSHS002789-NAVY BLUE</t>
        </is>
      </c>
      <c r="H7" s="49" t="inlineStr">
        <is>
          <t>Purple United Kids Boys Navy Blue Statement Text T Shirt | Bold Typography Artwork with  Clean Silhouette | Durable Print Finish &amp; Shape-Retaining Fit</t>
        </is>
      </c>
      <c r="I7" s="16" t="inlineStr">
        <is>
          <t>Boys Navy Blue Bold T-Shirt</t>
        </is>
      </c>
      <c r="J7" s="14" t="inlineStr">
        <is>
          <t>Boys Navy Blue T-Shirt with Bold Statement Text Design</t>
        </is>
      </c>
      <c r="K7" s="14">
        <f>IFERROR(__xludf.DUMMYFUNCTION("AI(""Fill an appropriate value for this cell based on the table context"")"),"Kids Boys Navy Blue T-Shirt with Bold Typography Artwork &amp; Regular Fit Comfort Design")</f>
        <v/>
      </c>
      <c r="L7" s="14">
        <f>IFERROR(__xludf.DUMMYFUNCTION("AI(""Fill an appropriate value for this cell based on the table context"")"),"Purple United Kids Boys Navy Blue Statement Graphic T-Shirt with Bold Typography and Regular Fit")</f>
        <v/>
      </c>
      <c r="M7" s="12" t="inlineStr">
        <is>
          <t>SMOOTH EVERYDAY COMFORT: Designed for ease and movement, this t shirt for kids boys offers a lightweight feel with a smooth surface texture suitable for active daily routines and relaxed wear.
BOLD TYPOGRAPHY GRAPHIC: Features a vertical motivational “Just Do Things” print with gradient lettering, creating a modern visual statement that adds confidence and personality to boys tshirts.
STRUCTURED REGULAR FIT: The balanced silhouette maintains a neat shape while allowing natural flexibility, making this tshirt for boys ideal for everyday kids wear for boys styling.
HIGH-DEFINITION PRINT DETAILING: Precision print application enhances colour contrast and clarity, ensuring the artwork remains sharp and visually impactful over repeated use.
REFINED FINISHING TOUCHES: Soft ribbed neckline and clean seam detailing elevate durability and comfort, reflecting premium standards expected in modern kids wear boy collections.</t>
        </is>
      </c>
      <c r="N7" s="14" t="inlineStr">
        <is>
          <t>Designed for young trendsetters, this Purple United Kids Boys Navy Blue T-Shirt blends modern graphic expression with everyday functionality. The bold typography artwork introduces a confident visual identity, while the deep navy base enhances contrast and styling versatility.
Created for comfort and movement, this kid tshirt maintains a structured appearance without restricting ease. The clean design makes it easy to pair across casual looks, while the refined finishing ensures lasting wear quality. Built as part of contemporary kids wear for boys collections, this boys tshirt delivers a balance of expressive design and dependable everyday performance.</t>
        </is>
      </c>
      <c r="O7" s="13" t="n"/>
      <c r="P7" s="13" t="n"/>
      <c r="Q7" s="13" t="n"/>
      <c r="R7" s="13" t="n"/>
      <c r="S7" s="13" t="n"/>
      <c r="T7" s="13" t="n"/>
      <c r="U7" s="13" t="n"/>
      <c r="V7" s="13" t="n"/>
      <c r="W7" s="13" t="n"/>
      <c r="X7" s="13" t="n"/>
      <c r="Y7" s="13" t="n"/>
      <c r="Z7" s="13" t="n"/>
      <c r="AA7" s="13" t="n"/>
      <c r="AB7" s="13" t="n"/>
      <c r="AC7" s="13" t="n"/>
    </row>
    <row r="8" ht="96.75" customHeight="1" s="60">
      <c r="A8" s="14" t="n"/>
      <c r="B8" s="6" t="inlineStr">
        <is>
          <t>PBTSHS002798</t>
        </is>
      </c>
      <c r="C8" s="7" t="inlineStr">
        <is>
          <t>APPAREL</t>
        </is>
      </c>
      <c r="D8" s="8" t="inlineStr">
        <is>
          <t>T-SHIRT</t>
        </is>
      </c>
      <c r="E8" s="7" t="inlineStr">
        <is>
          <t>KIDS BOYS</t>
        </is>
      </c>
      <c r="F8" s="7" t="inlineStr">
        <is>
          <t>RED</t>
        </is>
      </c>
      <c r="G8" s="7" t="inlineStr">
        <is>
          <t>PBTSHS002798-RED</t>
        </is>
      </c>
      <c r="H8" s="49" t="inlineStr">
        <is>
          <t>Purple United Kids Boys Red T-Shirt | Kids Summer Wear T Shirt for Boys with Statement Print Design | Soft Feel Casual Wear Boys Tshirt</t>
        </is>
      </c>
      <c r="I8" s="14" t="inlineStr">
        <is>
          <t>Boys Red Summer Wear T-Shirt</t>
        </is>
      </c>
      <c r="J8" s="14" t="inlineStr">
        <is>
          <t xml:space="preserve">Boys Summer Comfort Ready Red T-Shirt for Casual Wear
</t>
        </is>
      </c>
      <c r="K8" s="14">
        <f>IFERROR(__xludf.DUMMYFUNCTION("AI(""Fill an appropriate value for this cell based on the table context"")"),"Kids Boys T-Shirt in Red with Statement Graphic Design, Soft Breathable Fabric &amp; Structured Silhouette")</f>
        <v/>
      </c>
      <c r="L8" s="14">
        <f>IFERROR(__xludf.DUMMYFUNCTION("AI(""Fill an appropriate value for this cell based on the table context"")"),"Purple United Kids Boys Red Cotton T-Shirt with Bold Typography Artwork for Summer Wear")</f>
        <v/>
      </c>
      <c r="M8" s="12" t="inlineStr">
        <is>
          <t>STATEMENT GRAPHIC DESIGN: Bold summer-inspired typography artwork adds strong visual character, creating a standout boys tshirt designed for expressive everyday styling.
SMOOTH EVERYDAY COMFORT: Designed with a soft surface feel that supports all-day ease, making this t shirt for kids boys suitable for active movement and daily wear.
STRUCTURED SILHOUETTE: Maintains a neat shape while allowing flexibility, delivering a balanced fit ideal for modern kids wear for boys collections.
HIGH-DEFINITION PRINT FINISH: Precision print application enhances colour depth and clarity, helping the graphic retain sharpness through repeated wear.
REFINED FINISHING DETAILS: Clean neckline construction and neatly finished seams elevate durability while maintaining a polished premium kidswear appearance.</t>
        </is>
      </c>
      <c r="N8" s="14" t="inlineStr">
        <is>
          <t>Designed for confident young trendsetters, this Purple United Kids boys T-shirt blends statement design with elevated everyday comfort. The vibrant red base paired with a bold summer graphic creates a standout look, perfect for active days and expressive styling.
Crafted for movement and all-day ease, this t shirt for kids boys delivers a soft hand feel, breathable comfort, and a structured silhouette that holds shape wear after wear. The premium print placement enhances visual appeal while maintaining a refined kidswear aesthetic.
Ideal as kids summer wear, this boys tshirt transitions effortlessly from playtime to outings, making it a versatile essential in modern kids wear for boys wardrobes.</t>
        </is>
      </c>
      <c r="O8" s="13" t="n"/>
      <c r="P8" s="13" t="n"/>
      <c r="Q8" s="13" t="n"/>
      <c r="R8" s="13" t="n"/>
      <c r="S8" s="13" t="n"/>
      <c r="T8" s="13" t="n"/>
      <c r="U8" s="13" t="n"/>
      <c r="V8" s="13" t="n"/>
      <c r="W8" s="13" t="n"/>
      <c r="X8" s="13" t="n"/>
      <c r="Y8" s="13" t="n"/>
      <c r="Z8" s="13" t="n"/>
      <c r="AA8" s="13" t="n"/>
      <c r="AB8" s="13" t="n"/>
      <c r="AC8" s="13" t="n"/>
    </row>
    <row r="9" ht="96.75" customHeight="1" s="60">
      <c r="A9" s="14" t="n"/>
      <c r="B9" s="6" t="inlineStr">
        <is>
          <t>PGTSHS002781</t>
        </is>
      </c>
      <c r="C9" s="7" t="inlineStr">
        <is>
          <t>APPAREL</t>
        </is>
      </c>
      <c r="D9" s="8" t="inlineStr">
        <is>
          <t>T-SHIRT</t>
        </is>
      </c>
      <c r="E9" s="7" t="inlineStr">
        <is>
          <t>KIDS GIRLS</t>
        </is>
      </c>
      <c r="F9" s="7" t="inlineStr">
        <is>
          <t>LT. GREEN</t>
        </is>
      </c>
      <c r="G9" s="7" t="inlineStr">
        <is>
          <t>PGTSHS002781-LT. GREEN</t>
        </is>
      </c>
      <c r="H9" s="49" t="inlineStr">
        <is>
          <t>Purple United Kids Girls Light Green Floral Graphic T Shirt | Bloom Artwork Design | Smooth Finish Surface Stylish T Shirt for Girls | Comfortable Kids Summer Wear</t>
        </is>
      </c>
      <c r="I9" s="14" t="inlineStr">
        <is>
          <t>Girls Light Green Floral Tshirt</t>
        </is>
      </c>
      <c r="J9" s="14" t="inlineStr">
        <is>
          <t>Girls Light Green Floral Graphic T-Shirt with Regular Fit</t>
        </is>
      </c>
      <c r="K9" s="14">
        <f>IFERROR(__xludf.DUMMYFUNCTION("AI(""Fill an appropriate value for this cell based on the table context"")"),"Kids Girls Light Green Floral Graphic T-Shirt with Bloom Artwork &amp; Soft Breathable Fabric")</f>
        <v/>
      </c>
      <c r="L9" s="14">
        <f>IFERROR(__xludf.DUMMYFUNCTION("AI(""Fill an appropriate value for this cell based on the table context"")"),"Purple United Kids Girls Light Green Floral Graphic T-Shirt with Bloom Artwork and Smooth Finish for Summer Wear")</f>
        <v/>
      </c>
      <c r="M9" s="12" t="inlineStr">
        <is>
          <t>FLORAL GRAPHIC ARTWORK: Bloom-inspired floral illustration is applied using precision printing techniques, delivering vibrant colour clarity and smooth surface integration while enhancing visual appeal without affecting fabric flexibility or everyday wearing comfort.
CLASSIC SHORT SLEEVE DESIGN: Constructed with clean short sleeves and balanced arm openings, the T-shirt allows natural movement while maintaining structure, ensuring ease of wear and consistent shape retention during regular activity and repeated use.
SMOOTH SURFACE COMFORT: Fabric surface is finished for a soft hand feel and lightweight touch, supporting breathable comfort and irritation-free wear, making the garment suitable for extended daily use across active and relaxed environments.
HIGH-DEFINITION PRINT FINISH: Advanced print application ensures sharp detailing and colour stability, allowing the artwork to remain clear and intact while maintaining fabric softness and durability through multiple washes and continuous wear cycles.
REFINED EVERYDAY SILHOUETTE: Designed with a balanced cut that supports movement without losing structure, the T-shirt maintains a neat fall on the body, delivering a polished appearance aligned with premium kidswear construction standards.</t>
        </is>
      </c>
      <c r="N9" s="48" t="inlineStr">
        <is>
          <t>Fresh, playful, and thoughtfully designed, this Purple United Kids Girls Light Green T-Shirt brings expressive floral artistry into everyday kidswear. The bloom-inspired graphic is applied with precision printing, creating vibrant visual clarity while maintaining a smooth fabric surface and flexible wear experience. The soft pastel tone enhances brightness and adds a refreshing seasonal appeal, making the garment visually light and easy to style.
Constructed in a classic short sleeve silhouette, the T-shirt supports unrestricted movement while maintaining a balanced structure that sits neatly during daily activity. The fabric offers a soft hand feel with breathable comfort, allowing ease throughout extended wear. Clean stitching and refined finishing contribute to durability while preserving shape and appearance after repeated use. Designed to balance comfort, visual charm, and reliable wearability, this girls T-shirt becomes a versatile essential suited for modern kids summer wear and everyday casual styling.</t>
        </is>
      </c>
      <c r="O9" s="13" t="n"/>
      <c r="P9" s="13" t="n"/>
      <c r="Q9" s="13" t="n"/>
      <c r="R9" s="13" t="n"/>
      <c r="S9" s="13" t="n"/>
      <c r="T9" s="13" t="n"/>
      <c r="U9" s="13" t="n"/>
      <c r="V9" s="13" t="n"/>
      <c r="W9" s="13" t="n"/>
      <c r="X9" s="13" t="n"/>
      <c r="Y9" s="13" t="n"/>
      <c r="Z9" s="13" t="n"/>
      <c r="AA9" s="13" t="n"/>
      <c r="AB9" s="13" t="n"/>
      <c r="AC9" s="13" t="n"/>
    </row>
    <row r="10">
      <c r="A10" s="42" t="n"/>
      <c r="B10" s="19" t="inlineStr">
        <is>
          <t>PBTSHS002799</t>
        </is>
      </c>
      <c r="C10" s="19" t="inlineStr">
        <is>
          <t>APPAREL</t>
        </is>
      </c>
      <c r="D10" s="19" t="inlineStr">
        <is>
          <t>T-SHIRT</t>
        </is>
      </c>
      <c r="E10" s="19" t="inlineStr">
        <is>
          <t>KIDS BOYS</t>
        </is>
      </c>
      <c r="F10" s="26" t="inlineStr">
        <is>
          <t>Mustard</t>
        </is>
      </c>
      <c r="G10" s="19" t="inlineStr">
        <is>
          <t>PBTSHS002799-MUSTARD</t>
        </is>
      </c>
      <c r="H10" s="49" t="inlineStr">
        <is>
          <t>Purple United Kids Boys Mustard Graphic T-Shirt with Adventure Typography | Smooth Breathable Fabric with Comfortable Regular Fit | Vibrant Kids Summer Styling</t>
        </is>
      </c>
      <c r="I10" s="48" t="inlineStr">
        <is>
          <t>Boys Mustard Adevnture T-Shirt</t>
        </is>
      </c>
      <c r="J10" s="49" t="inlineStr">
        <is>
          <t>Boys Mustard Everyday Luxe Summer T-Shirt</t>
        </is>
      </c>
      <c r="K10" s="49">
        <f>IFERROR(__xludf.DUMMYFUNCTION("AI(""Fill an appropriate value for this cell based on the table context"")"),"Kids Boys Mustard T-Shirt with Adventure Typography, Breathable Soft-Touch Fabric &amp; Comfortable Regular Fit")</f>
        <v/>
      </c>
      <c r="L10" s="49">
        <f>IFERROR(__xludf.DUMMYFUNCTION("AI(""Fill an appropriate value for this cell based on the table context"")"),"Purple United Kids Boys Mustard Adventure Graphic Printed T-Shirt with Regular Fit for Everyday Wear")</f>
        <v/>
      </c>
      <c r="M10" s="51" t="inlineStr">
        <is>
          <t>PREMIUM SOFT-TOUCH FABRIC: Designed using lightweight breathable fabric that feels gentle on skin while maintaining structure and comfort throughout the day, making this t shirt for kids boys ideal for everyday wear and active routines.
STATEMENT GRAPHIC DESIGN: Bold “Adventure” typography print adds playful character while maintaining a clean premium aesthetic. High-quality print application ensures lasting colour vibrancy and durability without cracking, peeling, or fading after washes.
COMFORT-LED REGULAR FIT: Balanced silhouette offers relaxed movement with a neat finish, allowing kids to stay comfortable while looking refined. Designed for daily styling, making it a versatile boys tshirt for casual and outdoor wear.
BREATHABLE SUMMER-READY FABRIC FEEL: Airy lightweight fabric promotes ventilation and ease during warmer days, helping maintain comfort throughout activities. A dependable choice for kids summer wear boys wardrobes focused on comfort and effortless styling.
DURABLE FINISHING &amp; CLEAN STITCHING: Carefully finished seams and reinforced neckline detailing enhance longevity while preserving garment shape, ensuring this tshirt for boys maintains premium appearance and comfort even after repeated use and washing.</t>
        </is>
      </c>
      <c r="N10" s="48" t="inlineStr">
        <is>
          <t>Designed for active everyday exploration, this mustard graphic T-shirt for kids boys blends playful expression with refined comfort and premium kidswear styling. Created in a soft-touch breathable fabric, the T-shirt offers a smooth surface feel that remains gentle on skin while supporting ease of movement throughout daily activities. The balanced regular silhouette allows relaxed wear while maintaining a neat, structured fall that enhances overall appearance.
The bold “Adventure” typography graphic adds energetic character and modern visual appeal, making it an ideal choice for kids summer wear boys can style effortlessly across casual outings and playtime moments. Carefully finished seams and a reinforced neckline help maintain shape retention and durability through repeated wear. The lightweight feel ensures all-day comfort, while the high-quality print application preserves colour clarity and surface smoothness over time. A contemporary essential in kids wear for boys, designed to deliver comfort, durability, and confident premium styling for everyday wardrobes.</t>
        </is>
      </c>
    </row>
    <row r="11">
      <c r="A11" s="42" t="n"/>
      <c r="B11" s="19" t="inlineStr">
        <is>
          <t>PGTSHS002780</t>
        </is>
      </c>
      <c r="C11" s="23" t="inlineStr">
        <is>
          <t>APPAREL</t>
        </is>
      </c>
      <c r="D11" s="24" t="inlineStr">
        <is>
          <t>T-SHIRT</t>
        </is>
      </c>
      <c r="E11" s="23" t="inlineStr">
        <is>
          <t>KIDS GIRLS</t>
        </is>
      </c>
      <c r="F11" s="33" t="inlineStr">
        <is>
          <t>BLACK</t>
        </is>
      </c>
      <c r="G11" s="33" t="inlineStr">
        <is>
          <t>PGTSHS002780-BLACK</t>
        </is>
      </c>
      <c r="H11" s="49" t="inlineStr">
        <is>
          <t>Purple United Kids Girls Crystal Logo Graphic T-Shirt | Soft Feel Fabric with Rhinestone Drip Artwork | Stylish Girls Casual Wear | Kids Summer Wear for Girls</t>
        </is>
      </c>
      <c r="I11" s="48" t="inlineStr">
        <is>
          <t>Kids Girls Crystal Work T-shirt</t>
        </is>
      </c>
      <c r="J11" s="49" t="inlineStr">
        <is>
          <t>Kids Girls Black T-Shirt with Rhinestone Drip Artwork</t>
        </is>
      </c>
      <c r="K11" s="49">
        <f>IFERROR(__xludf.DUMMYFUNCTION("AI(""Fill an appropriate value for this cell based on the table context"")"),"Kids Girls Black T-Shirt with Rhinestone Drip Artwork and Soft Feel Fabric")</f>
        <v/>
      </c>
      <c r="L11" s="49">
        <f>IFERROR(__xludf.DUMMYFUNCTION("AI(""Fill an appropriate value for this cell based on the table context"")"),"Purple United Kids Girls Black Crystal Logo Graphic T-Shirt with Rhinestone Drip Artwork")</f>
        <v/>
      </c>
      <c r="M11" s="51" t="inlineStr">
        <is>
          <t>CRYSTAL LOGO ARTWORK DESIGN: Signature Purple United logo is enhanced with precision crystal embellishment arranged in a flowing drip pattern, adding refined shine and textured visual appeal while maintaining flexibility suited for everyday girls’ t-shirts styling.
SOFT SURFACE FABRIC FEEL: Smooth-touch fabric provides a gentle hand feel against skin while supporting breathable comfort and lightweight wearability, making this tshirt for girls suitable for extended daily wear and active routines.
ELEVATED EVERYDAY SILHOUETTE: Designed with a balanced fit that allows natural movement while maintaining a neat fall, delivering a polished appearance aligned with premium kids clothes for girls and modern casual dressing preferences.
DURABLE EMBELLISHMENT DETAILING: Crystal elements are securely applied to preserve alignment and brilliance during repeated wear, ensuring lasting visual clarity without affecting garment flexibility or everyday comfort performance.
REFINED FINISHING DETAILS: Clean seam finishing and a well-shaped neckline enhance durability while supporting shape retention, helping the girls tshirt maintain its premium look and comfortable structure through regular wear cycles.</t>
        </is>
      </c>
      <c r="N11" s="48" t="inlineStr">
        <is>
          <t>Designed to combine expressive detailing with refined comfort, this Purple United Kids Girls T-Shirt introduces elevated styling into everyday kidswear. The signature logo artwork is highlighted through crystal drip embellishment, creating subtle shine and dimensional texture while maintaining lightweight wearability. The smooth fabric surface offers a soft-touch feel that supports breathable comfort throughout daily activities.
A balanced silhouette allows effortless movement while preserving a structured and polished appearance, making it a versatile addition to girls’ t-shirts and kids clothes for girls collections. Carefully finished seams and a shaped neckline enhance durability and help maintain garment form over time. The modern design pairs easily with casual outfits, making it ideal for kids summer wear for girls wardrobes. Thoughtfully designed for comfort, durability, and contemporary styling, this piece reflects premium kids fashion created for confident everyday dressing.</t>
        </is>
      </c>
    </row>
    <row r="12">
      <c r="A12" s="42" t="n"/>
      <c r="B12" s="19" t="inlineStr">
        <is>
          <t>PGTSHS002780</t>
        </is>
      </c>
      <c r="C12" s="23" t="inlineStr">
        <is>
          <t>APPAREL</t>
        </is>
      </c>
      <c r="D12" s="24" t="inlineStr">
        <is>
          <t>T-SHIRT</t>
        </is>
      </c>
      <c r="E12" s="23" t="inlineStr">
        <is>
          <t>KIDS GIRLS</t>
        </is>
      </c>
      <c r="F12" s="33" t="inlineStr">
        <is>
          <t>PURPLE</t>
        </is>
      </c>
      <c r="G12" s="33" t="inlineStr">
        <is>
          <t>PGTSHS002780-PURPLE</t>
        </is>
      </c>
      <c r="H12" s="49" t="inlineStr">
        <is>
          <t>Purple United Kids Girls Crystal Logo Graphic T-Shirt | Soft Feel Fabric with Rhinestone Drip Artwork | Stylish Girls Casual Wear | Kids Summer Wear for Girls</t>
        </is>
      </c>
      <c r="I12" s="48" t="inlineStr">
        <is>
          <t>Kids Girls Crystal Work T-shirt</t>
        </is>
      </c>
      <c r="J12" s="49" t="inlineStr">
        <is>
          <t>Kids Girls Purple T-Shirt with Rhinestone Drip Artwork</t>
        </is>
      </c>
      <c r="K12" s="49">
        <f>IFERROR(__xludf.DUMMYFUNCTION("AI(""Fill an appropriate value for this cell based on the table context"")"),"Purple United Kids Girls T-Shirt in Purple with Crystal Logo Graphic, Rhinestone Drip Artwork &amp; Soft Feel Fabric Comfort Design")</f>
        <v/>
      </c>
      <c r="L12" s="49">
        <f>IFERROR(__xludf.DUMMYFUNCTION("AI(""Fill an appropriate value for this cell based on the table context"")"),"Purple United Kids Girls Purple Crystal Logo Graphic T-Shirt with Rhinestone Drip Artwork and Soft Comfort Fit for Summer Wear")</f>
        <v/>
      </c>
      <c r="M12" s="51" t="inlineStr">
        <is>
          <t>CRYSTAL LOGO ARTWORK DESIGN: Signature Purple United logo is enhanced with precision crystal embellishment arranged in a flowing drip pattern, adding refined shine and textured visual appeal while maintaining flexibility suited for everyday girls’ t-shirts styling.
SOFT SURFACE FABRIC FEEL: Smooth-touch fabric provides a gentle hand feel against skin while supporting breathable comfort and lightweight wearability, making this tshirt for girls suitable for extended daily wear and active routines.
ELEVATED EVERYDAY SILHOUETTE: Designed with a balanced fit that allows natural movement while maintaining a neat fall, delivering a polished appearance aligned with premium kids clothes for girls and modern casual dressing preferences.
DURABLE EMBELLISHMENT DETAILING: Crystal elements are securely applied to preserve alignment and brilliance during repeated wear, ensuring lasting visual clarity without affecting garment flexibility or everyday comfort performance.
REFINED FINISHING DETAILS: Clean seam finishing and a well-shaped neckline enhance durability while supporting shape retention, helping the girls tshirt maintain its premium look and comfortable structure through regular wear cycles.</t>
        </is>
      </c>
      <c r="N12" s="48" t="inlineStr">
        <is>
          <t>Designed to combine expressive detailing with refined comfort, this Purple United Kids Girls T-Shirt introduces elevated styling into everyday kidswear. The signature logo artwork is highlighted through crystal drip embellishment, creating subtle shine and dimensional texture while maintaining lightweight wearability. The smooth fabric surface offers a soft-touch feel that supports breathable comfort throughout daily activities.
A balanced silhouette allows effortless movement while preserving a structured and polished appearance, making it a versatile addition to girls’ t-shirts and kids clothes for girls collections. Carefully finished seams and a shaped neckline enhance durability and help maintain garment form over time. The modern design pairs easily with casual outfits, making it ideal for kids summer wear for girls wardrobes. Thoughtfully designed for comfort, durability, and contemporary styling, this piece reflects premium kids fashion created for confident everyday dressing.</t>
        </is>
      </c>
    </row>
    <row r="13">
      <c r="A13" s="42" t="n"/>
      <c r="B13" s="19" t="inlineStr">
        <is>
          <t>PGTSHS002783</t>
        </is>
      </c>
      <c r="C13" s="23" t="inlineStr">
        <is>
          <t>APPAREL</t>
        </is>
      </c>
      <c r="D13" s="24" t="inlineStr">
        <is>
          <t>T-SHIRT</t>
        </is>
      </c>
      <c r="E13" s="23" t="inlineStr">
        <is>
          <t>KIDS GIRLS</t>
        </is>
      </c>
      <c r="F13" s="23" t="inlineStr">
        <is>
          <t>LAVENDER</t>
        </is>
      </c>
      <c r="G13" s="23" t="inlineStr">
        <is>
          <t>PGTSHS002783-LAVENDER</t>
        </is>
      </c>
      <c r="H13" s="49" t="inlineStr">
        <is>
          <t>Purple United Kids Girls Sparkle Typography T-Shirt | Soft Breathable Fabric Feel with Shimmer Accent Graphic | Comfortable Everyday Fit | Style-Led Girlswear Essential</t>
        </is>
      </c>
      <c r="I13" s="48" t="inlineStr">
        <is>
          <t>Kids Girls Sparkle Graphic T-shirt</t>
        </is>
      </c>
      <c r="J13" s="49" t="inlineStr">
        <is>
          <t xml:space="preserve">Girls Lavender Breathable Summer T-Shirt with Typography Design </t>
        </is>
      </c>
      <c r="K13" s="49">
        <f>IFERROR(__xludf.DUMMYFUNCTION("AI(""Fill an appropriate value for this cell based on the table context"")"),"Kids Girls Sparkle Typography T-Shirt in Lavender with Rhinestone Accents &amp; Breathable Comfort Design")</f>
        <v/>
      </c>
      <c r="L13" s="49">
        <f>IFERROR(__xludf.DUMMYFUNCTION("AI(""Fill an appropriate value for this cell based on the table context"")"),"Purple United Kids Girls Lavender Sparkle Typography T-Shirt with Rhinestone Detailing for Everyday Wear")</f>
        <v/>
      </c>
      <c r="M13" s="51" t="inlineStr">
        <is>
          <t>PREMIUM FABRIC COMFORT: Soft-touch breathable fabric ensures lasting comfort with a smooth feel against skin, allowing easy airflow and flexibility for active routines while maintaining a refined premium appearance suitable for everyday kids wear.
SPARKLE GRAPHIC DETAILING: Typography artwork enhanced with delicate rhinestone accents creates a subtle shimmer effect, delivering a fashion-forward statement while keeping the design playful, age-appropriate, and aligned with modern girls casual styling.
EASY MOVEMENT FIT: Designed with a relaxed silhouette and balanced proportions, the T-shirt supports natural movement and comfortable wear throughout the day, making it ideal for school hours, outings, and casual activities.
DURABLE PRINT FINISH: High-quality graphic application maintains clarity and texture through repeated washes, helping the design retain its premium look while preventing cracking or fading during regular use.
EVERYDAY STYLE VERSATILITY: Effortlessly pairs with shorts, skirts, denims, or leggings, offering versatile styling options that transition seamlessly from casual daytime looks to playful evening outings.</t>
        </is>
      </c>
      <c r="N13" s="48" t="inlineStr">
        <is>
          <t>Designed for young trendsetters, this girls graphic T-shirt blends playful styling with refined comfort. Crafted from a soft, breathable fabric, it delivers a smooth hand feel that remains gentle on skin while supporting all-day movement and everyday wear. The sparkle typography artwork enhanced with subtle rhinestone detailing adds a premium fashion element, creating a statement look without compromising comfort.
The silhouette features a relaxed everyday fit that allows easy mobility, making it ideal for casual outings, school activities, and weekend styling. Regular short sleeves and a clean round neckline maintain a timeless structure while ensuring effortless wearability. Precision stitching and a durable print finish help retain shape, softness, and visual appeal even after repeated washes.
Lightweight yet polished, this T-shirt pairs easily with shorts, skirts, or denims, making it a versatile addition to modern kids wear collections. Designed with attention to detail and contemporary aesthetics, it reflects elevated casual fashion created for confident everyday styling.</t>
        </is>
      </c>
    </row>
    <row r="14">
      <c r="A14" s="42" t="n"/>
      <c r="B14" s="24" t="inlineStr">
        <is>
          <t>PBDNJA001620</t>
        </is>
      </c>
      <c r="C14" s="23" t="inlineStr">
        <is>
          <t>APPAREL</t>
        </is>
      </c>
      <c r="D14" s="24" t="inlineStr">
        <is>
          <t>DENIM</t>
        </is>
      </c>
      <c r="E14" s="23" t="inlineStr">
        <is>
          <t>KIDS BOYS</t>
        </is>
      </c>
      <c r="F14" s="23" t="inlineStr">
        <is>
          <t>LT. BLUE</t>
        </is>
      </c>
      <c r="G14" s="26" t="inlineStr">
        <is>
          <t>PBDNJA001620-LT. BLUE</t>
        </is>
      </c>
      <c r="H14" s="49" t="inlineStr">
        <is>
          <t>Purple United Kids Boys Utility Denim Joggers | Premium Cotton Rich Stretch Denim | Relaxed Baggy Fit with Cargo Pockets &amp; Elasticated Hem | Comfortable Everyday Kids Wear Jeans for Boys</t>
        </is>
      </c>
      <c r="I14" s="48" t="inlineStr">
        <is>
          <t>Boys Utility Denim Joggers</t>
        </is>
      </c>
      <c r="J14" s="49" t="inlineStr">
        <is>
          <t>Kids Boys Blue Cargo Style Denim Joggers</t>
        </is>
      </c>
      <c r="K14" s="49">
        <f>IFERROR(__xludf.DUMMYFUNCTION("AI(""Fill an appropriate value for this cell based on the table context"")"),"Kids Boys Denim Joggers in Lt. Blue with Relaxed Baggy Fit, Cargo Pockets &amp; Elasticated Hem")</f>
        <v/>
      </c>
      <c r="L14" s="49">
        <f>IFERROR(__xludf.DUMMYFUNCTION("AI(""Fill an appropriate value for this cell based on the table context"")"),"Purple United Kids Boys Light Blue Utility Denim Joggers with Relaxed Baggy Fit and Cargo Pockets")</f>
        <v/>
      </c>
      <c r="M14" s="51" t="inlineStr">
        <is>
          <t>PREMIUM COTTON RICH DENIM: Crafted using soft cotton-rich denim that delivers durability with flexibility, ensuring breathable comfort for everyday wear while maintaining a structured premium look suitable for active kids.
RELAXED BAGGY FIT DESIGN: Modern baggy jeans silhouette designed for effortless movement and contemporary styling, combining comfort with trend-forward kids fashion inspired by utility streetwear aesthetics.
FUNCTIONAL UTILITY POCKETS: Designed with practical cargo pockets and secure back pockets, adding both style and functionality while allowing kids to carry essentials during play, outings, or casual everyday adventures.
ELASTICATED WAIST &amp; HEM COMFORT: Adjustable drawstring waistband with elasticated hems provides a secure yet flexible fit, offering ease of wear and enhanced mobility throughout active routines.
EVERYDAY PERFORMANCE WEAR: Engineered for durability and repeated wear, these jeans transition effortlessly from casual outings to travel and playtime, making them a dependable premium wardrobe essential.</t>
        </is>
      </c>
      <c r="N14" s="48" t="inlineStr">
        <is>
          <t>Designed for comfort, movement, and elevated everyday styling, the Purple United Kids Boys Utility Denim Joggers bring together contemporary design and premium craftsmanship. Made from cotton-rich stretch denim, the fabric offers a soft hand feel while ensuring durability for active kids lifestyles. The relaxed baggy silhouette provides unrestricted movement, making it ideal for play, travel, and daily wear.
Functional cargo pockets enhance practicality while adding a modern utility-inspired aesthetic that reflects current kids fashion trends. An elasticated waistband with adjustable drawstring ensures a secure yet flexible fit, while elasticated hems create a clean jogger finish for a structured look. Thoughtfully engineered for comfort and long-lasting wear, these jeans balance style and functionality effortlessly. Designed to transition seamlessly from casual outings to everyday adventures, this denim essential represents Purple United’s commitment to premium quality, comfort-first construction, and trend-forward kids wear designed for confidence, ease, and all-day performance.</t>
        </is>
      </c>
    </row>
    <row r="15">
      <c r="A15" s="42" t="n"/>
      <c r="B15" s="24" t="inlineStr">
        <is>
          <t>PBCSCS001313</t>
        </is>
      </c>
      <c r="C15" s="23" t="inlineStr">
        <is>
          <t>APPAREL</t>
        </is>
      </c>
      <c r="D15" s="24" t="inlineStr">
        <is>
          <t>CLOTHING SET</t>
        </is>
      </c>
      <c r="E15" s="23" t="inlineStr">
        <is>
          <t>KIDS BOYS</t>
        </is>
      </c>
      <c r="F15" s="23" t="inlineStr">
        <is>
          <t>LT. BLUE/ WHITE</t>
        </is>
      </c>
      <c r="G15" s="26" t="inlineStr">
        <is>
          <t>PBCSCS001313-LT. BLUE/ WHITE</t>
        </is>
      </c>
      <c r="H15" s="49" t="inlineStr">
        <is>
          <t>Purple United Kids Boys Cotton Striped Shirt &amp; Shorts Set | Soft Breathable Fabric, Lightweight Summer Comfort Fit, Smart Collar Design, Elasticated Waist Shorts with Everyday Premium Finish</t>
        </is>
      </c>
      <c r="I15" s="48" t="inlineStr">
        <is>
          <t>Kids Striped Clothing Set</t>
        </is>
      </c>
      <c r="J15" s="49" t="inlineStr">
        <is>
          <t>Kids Boys Cotton Striped Clothing Set for Relaxed Summers</t>
        </is>
      </c>
      <c r="K15" s="49">
        <f>IFERROR(__xludf.DUMMYFUNCTION("AI(""Fill an appropriate value for this cell based on the table context"")"),"Kids Boys Cotton Striped Shirt and Shorts Set in Light Blue and White with Smart Collar and Elasticated Waistband")</f>
        <v/>
      </c>
      <c r="L15" s="49">
        <f>IFERROR(__xludf.DUMMYFUNCTION("AI(""Fill an appropriate value for this cell based on the table context"")"),"Purple United Kids Boys Light Blue &amp; White Cotton Striped Shirt and Shorts Set with Smart Collar and Elasticated Waist for Summer Wear")</f>
        <v/>
      </c>
      <c r="M15" s="51" t="inlineStr">
        <is>
          <t>PREMIUM BREATHABLE COTTON FABRIC: Soft cotton fabric promotes airflow and moisture comfort, keeping kids cool and relaxed throughout the day while maintaining a lightweight feel ideal for summer activities and outdoor movement.
SMART SHIRT SILHOUETTE: Structured collar design with clean button detailing offers a refined yet playful appearance, balancing casual comfort with polished styling suitable for outings, celebrations, and everyday wear.
COMFORT-FIRST SHORTS DESIGN: Elasticated waistband with adjustable drawstring ensures secure yet flexible fitting, supporting active movement while maintaining shape and comfort during playtime and long wear hours.
LIGHTWEIGHT SUMMER READY FEEL: Smooth texture and airy fabric reduce heaviness, allowing unrestricted motion and breathable comfort, making this coordinated set perfect for warm climates and travel dressing.
REFINED DESIGN DETAILS: Precision stripe placement with clean tailoring enhances visual balance while maintaining comfort, creating a polished coordinated look that blends smart styling with effortless everyday wearability.</t>
        </is>
      </c>
      <c r="N15" s="48" t="inlineStr">
        <is>
          <t>Designed for effortless summer styling, this Purple United Kids clothing set blends refined design with everyday comfort for young trendsetters. Crafted from soft, breathable cotton fabric, the lightweight striped shirt ensures enhanced airflow and all-day freshness, making it ideal for warm-weather wear. The smart collar silhouette and clean button-down styling create a polished yet relaxed appearance suitable for casual outings, vacations, and special occasions alike.
The coordinated shorts feature a comfortable elasticated waistband with adjustable drawstring support, allowing easy movement during active play while maintaining a neat structured look. The fabric feels smooth against the skin, offering irritation-free comfort for extended wear. Thoughtfully designed stitching, balanced proportions, and premium finishing reflect Purple United’s commitment to elevated kidswear aesthetics.
This matching set delivers versatility, comfort, and modern styling in one coordinated outfit — combining breathable fabric performance with a contemporary silhouette tailored for confident everyday dressing.</t>
        </is>
      </c>
    </row>
    <row r="16">
      <c r="A16" s="42" t="n"/>
      <c r="B16" s="24" t="inlineStr">
        <is>
          <t>PBCSCS001313</t>
        </is>
      </c>
      <c r="C16" s="23" t="inlineStr">
        <is>
          <t>APPAREL</t>
        </is>
      </c>
      <c r="D16" s="24" t="inlineStr">
        <is>
          <t>CLOTHING SET</t>
        </is>
      </c>
      <c r="E16" s="23" t="inlineStr">
        <is>
          <t>KIDS BOYS</t>
        </is>
      </c>
      <c r="F16" s="23" t="inlineStr">
        <is>
          <t>NEON GREEN/ WHITE</t>
        </is>
      </c>
      <c r="G16" s="26" t="inlineStr">
        <is>
          <t>PBCSCS001313-NEON GREEN/ WHITE</t>
        </is>
      </c>
      <c r="H16" s="49" t="inlineStr">
        <is>
          <t>Purple United Kids Boys Cotton Striped Shirt &amp; Shorts Set | Soft Breathable Fabric, Lightweight Summer Comfort Fit, Smart Collar Design, Elasticated Waist Shorts with Everyday Premium Finish</t>
        </is>
      </c>
      <c r="I16" s="48" t="inlineStr">
        <is>
          <t xml:space="preserve">Kids Striped Co-Ord Set </t>
        </is>
      </c>
      <c r="J16" s="49" t="inlineStr">
        <is>
          <t>Kids Boys Cotton Striped Clothing Set for Relaxed Summers</t>
        </is>
      </c>
      <c r="K16" s="49">
        <f>IFERROR(__xludf.DUMMYFUNCTION("AI(""Fill an appropriate value for this cell based on the table context"")"),"Purple United Kids Boys Neon Green/White Cotton Striped Shirt and Shorts Set with Smart Collar &amp; Elasticated Waistband")</f>
        <v/>
      </c>
      <c r="L16" s="49">
        <f>IFERROR(__xludf.DUMMYFUNCTION("AI(""Fill an appropriate value for this cell based on the table context"")"),"Purple United Kids Boys Cotton Striped Shirt and Shorts Set with Breathable Fabric and Smart Collar for Summer Wear")</f>
        <v/>
      </c>
      <c r="M16" s="51" t="inlineStr">
        <is>
          <t>PREMIUM BREATHABLE COTTON FABRIC: Soft cotton fabric promotes airflow and moisture comfort, keeping kids cool and relaxed throughout the day while maintaining a lightweight feel ideal for summer activities and outdoor movement.
SMART SHIRT SILHOUETTE: Structured collar design with clean button detailing offers a refined yet playful appearance, balancing casual comfort with polished styling suitable for outings, celebrations, and everyday wear.
COMFORT-FIRST SHORTS DESIGN: Elasticated waistband with adjustable drawstring ensures secure yet flexible fitting, supporting active movement while maintaining shape and comfort during playtime and long wear hours.
LIGHTWEIGHT SUMMER READY FEEL: Smooth texture and airy fabric reduce heaviness, allowing unrestricted motion and breathable comfort, making this coordinated set perfect for warm climates and travel dressing.
REFINED DESIGN DETAILS: Precision stripe placement with clean tailoring enhances visual balance while maintaining comfort, creating a polished coordinated look that blends smart styling with effortless everyday wearability.</t>
        </is>
      </c>
      <c r="N16" s="48" t="inlineStr">
        <is>
          <t>Designed for effortless summer styling, this Purple United Kids clothing set blends refined design with everyday comfort for young trendsetters. Crafted from soft, breathable cotton fabric, the lightweight striped shirt ensures enhanced airflow and all-day freshness, making it ideal for warm-weather wear. The smart collar silhouette and clean button-down styling create a polished yet relaxed appearance suitable for casual outings, vacations, and special occasions alike.
The coordinated shorts feature a comfortable elasticated waistband with adjustable drawstring support, allowing easy movement during active play while maintaining a neat structured look. The fabric feels smooth against the skin, offering irritation-free comfort for extended wear. Thoughtfully designed stitching, balanced proportions, and premium finishing reflect Purple United’s commitment to elevated kidswear aesthetics.
This matching set delivers versatility, comfort, and modern styling in one coordinated outfit — combining breathable fabric performance with a contemporary silhouette tailored for confident everyday dressing.</t>
        </is>
      </c>
    </row>
    <row r="17">
      <c r="A17" s="42" t="n"/>
      <c r="B17" s="24" t="inlineStr">
        <is>
          <t>PBLWLW001851</t>
        </is>
      </c>
      <c r="C17" s="23" t="inlineStr">
        <is>
          <t>APPAREL</t>
        </is>
      </c>
      <c r="D17" s="24" t="inlineStr">
        <is>
          <t>LOWER</t>
        </is>
      </c>
      <c r="E17" s="23" t="inlineStr">
        <is>
          <t>KIDS BOYS</t>
        </is>
      </c>
      <c r="F17" s="23" t="inlineStr">
        <is>
          <t>OLIVE</t>
        </is>
      </c>
      <c r="G17" s="23" t="inlineStr">
        <is>
          <t>PBLWLW001851-OLIVE</t>
        </is>
      </c>
      <c r="H17" s="49" t="inlineStr">
        <is>
          <t>Purple United Kids Boys Olive Track Pants | Relaxed Straight Fit Lower with Elasticated Waist &amp; Adjustable Drawcord | Soft Breathable Fabric Feel | Everyday Comfort Wear</t>
        </is>
      </c>
      <c r="I17" s="48" t="inlineStr">
        <is>
          <t>Kids Boys Olive Comfort Lower</t>
        </is>
      </c>
      <c r="J17" s="49" t="inlineStr">
        <is>
          <t>Boys Olive Easy Move Straight Fit Lower</t>
        </is>
      </c>
      <c r="K17" s="49">
        <f>IFERROR(__xludf.DUMMYFUNCTION("AI(""Fill an appropriate value for this cell based on the table context"")"),"Kids Boys Track Pants in Olive with Relaxed Straight Fit, Elasticated Waist &amp; Soft Breathable Fabric")</f>
        <v/>
      </c>
      <c r="L17" s="49">
        <f>IFERROR(__xludf.DUMMYFUNCTION("AI(""Fill an appropriate value for this cell based on the table context"")"),"Purple United Kids Boys Olive Track Pants with Relaxed Straight Fit and Elasticated Waist for Everyday Comfort Wear")</f>
        <v/>
      </c>
      <c r="M17" s="51" t="inlineStr">
        <is>
          <t>PREMIUM SOFT FABRIC FEEL: Smooth breathable fabric delivers lightweight comfort while maintaining structure, allowing kids to move freely throughout the day without heaviness, making it ideal for everyday wear and active routines.
RELAXED STRAIGHT FIT SILHOUETTE: Modern relaxed fit design offers ease of movement with a clean straight fall, creating a refined appearance that balances comfort-focused wearability with contemporary kids fashion styling.
ADJUSTABLE ELASTICATED WAISTBAND: Flexible elastic waistband combined with adjustable drawcord ensures a secure personalized fit, providing comfort during extended wear while allowing quick and easy dressing.
FUNCTIONAL EVERYDAY DESIGN: Practical side pockets enhance usability while maintaining a minimal premium aesthetic, supporting daily activities without compromising the clean structured look of the lower.
VERSATILE COMFORT WEAR: Designed to transition effortlessly between playtime, travel, and casual outings, these track pants combine durability, flexibility, and comfort — making them a dependable wardrobe essential for boys.</t>
        </is>
      </c>
      <c r="N17" s="48" t="inlineStr">
        <is>
          <t>Designed for effortless movement and everyday comfort, these Purple United Kids Boys track pants redefine modern kidswear with a refined relaxed silhouette and premium fabric feel. Crafted from soft breathable material, the lower offers smooth texture and lightweight comfort ideal for active routines, casual outings, and relaxed wear moments.
The elasticated waistband with adjustable drawcord ensures a secure yet flexible fit, allowing easy wear while supporting unrestricted movement throughout the day. A clean straight-leg profile enhances the overall structured look, giving the track pants a contemporary premium appeal beyond basic loungewear. Functional side pockets add practicality while maintaining a sleek aesthetic.
Thoughtfully designed for durability and comfort balance, this versatile lower blends everyday ease with elevated styling — reflecting Purple United’s approach to premium kids fashion that prioritizes comfort, movement, and modern design sensibility.</t>
        </is>
      </c>
    </row>
    <row r="18">
      <c r="A18" s="42" t="n"/>
      <c r="B18" s="19" t="inlineStr">
        <is>
          <t>TBBTBA002187</t>
        </is>
      </c>
      <c r="C18" s="27" t="inlineStr">
        <is>
          <t>FOOTWEAR</t>
        </is>
      </c>
      <c r="D18" s="19" t="inlineStr">
        <is>
          <t>BOOTIES</t>
        </is>
      </c>
      <c r="E18" s="27" t="inlineStr">
        <is>
          <t>KIDS BOYS</t>
        </is>
      </c>
      <c r="F18" s="27" t="inlineStr">
        <is>
          <t>BROWN/BEIGE</t>
        </is>
      </c>
      <c r="G18" s="26" t="inlineStr">
        <is>
          <t>TBBTBA002187-BROWN/BEIGE</t>
        </is>
      </c>
      <c r="H18" s="49" t="inlineStr">
        <is>
          <t xml:space="preserve">Toothless Baby Booties | Soft Sole Comfort Booties with Dual Velcro Closure &amp; Gentle Cushioned Lining | Lightweight Baby Boy Footwear for First Steps
</t>
        </is>
      </c>
      <c r="I18" s="48" t="inlineStr">
        <is>
          <t>Boys Soft Sole Baby Booties</t>
        </is>
      </c>
      <c r="J18" s="49" t="inlineStr">
        <is>
          <t>Brown Beige Baby Boy Booties with Dual Velcro for Tiny Steps &amp; Crawling</t>
        </is>
      </c>
      <c r="K18" s="49">
        <f>IFERROR(__xludf.DUMMYFUNCTION("AI(""Fill an appropriate value for this cell based on the table context"")"),"Kids Boys Brown Beige Soft Sole Booties with Dual Velcro Closure &amp; Cushioned Comfort")</f>
        <v/>
      </c>
      <c r="L18" s="49">
        <f>IFERROR(__xludf.DUMMYFUNCTION("AI(""Fill an appropriate value for this cell based on the table context"")"),"Toothless Baby Boys Brown and Beige Soft Sole Booties with Dual Velcro Closure and Cushioned Lining")</f>
        <v/>
      </c>
      <c r="M18" s="51" t="inlineStr">
        <is>
          <t>SOFT FLEXIBLE SOLE SUPPORT: Toothless baby booties feature a soft, flexible sole engineered for natural foot movement while providing gentle support. The lightweight structure protects delicate baby feet, making them ideal for crawling, early steps, and everyday exploration.
ADJUSTABLE VELCRO FIT: Designed with secure dual velcro straps, Toothless baby shoes ensure easy wear and a snug adjustable fit. This functional closure allows quick dressing while keeping the footwear comfortably secured during movement and playtime.
LIGHTWEIGHT COMFORT DESIGN: Toothless baby booties feature a lightweight design that helps reduce pressure on delicate feet while supporting natural movement. The balanced structure allows babies to crawl, stand, and explore comfortably throughout everyday playtime activities.
CUSHIONED INNER COMFORT: The soft cushioned interior lining enhances comfort and protects delicate baby skin. Toothless booties provide a cozy, supportive environment for little feet, ensuring gentle contact and breathable comfort throughout daily wear.
SUPPORTIVE SHAPE FOR LITTLE FEET: The well-shaped design helps maintain proper positioning of the baby’s feet while worn. This supportive form keeps the booties comfortably in place during playtime and early walking exploration.</t>
        </is>
      </c>
      <c r="N18" s="48" t="inlineStr">
        <is>
          <t>Thoughtfully designed for tiny steps and growing curiosity, these Toothless baby booties by Purple United blend comfort, protection, and adorable style in one premium design. Crafted with a soft cushioned interior and gentle flexible sole, these baby shoes support natural foot movement while keeping delicate feet comfortable throughout the day.
The secure double velcro straps allow easy wear and a snug adjustable fit, making them practical for everyday baby movement. The soft upper construction with detailed stitching adds durability while maintaining a lightweight feel ideal for early walkers and crawlers.
Designed for both comfort and style, these baby boy shoes offer dependable grip and a cozy interior lining, making them a reliable choice for playtime, outings, and daily wear. With refined finishing and thoughtful design, this baby footwear reflects Purple United’s commitment to premium kids fashion and comfort-first craftsmanship.</t>
        </is>
      </c>
    </row>
    <row r="19">
      <c r="A19" s="42" t="n"/>
      <c r="B19" s="19" t="inlineStr">
        <is>
          <t>TBBTBA002187</t>
        </is>
      </c>
      <c r="C19" s="27" t="inlineStr">
        <is>
          <t>FOOTWEAR</t>
        </is>
      </c>
      <c r="D19" s="19" t="inlineStr">
        <is>
          <t>BOOTIES</t>
        </is>
      </c>
      <c r="E19" s="27" t="inlineStr">
        <is>
          <t>KIDS BOYS</t>
        </is>
      </c>
      <c r="F19" s="27" t="inlineStr">
        <is>
          <t>NAVY/BEIGE</t>
        </is>
      </c>
      <c r="G19" s="26" t="inlineStr">
        <is>
          <t>TBBTBA002187-NAVY/BEIGE</t>
        </is>
      </c>
      <c r="H19" s="49" t="inlineStr">
        <is>
          <t xml:space="preserve">Toothless Baby Booties | Soft Sole Comfort Booties with Dual Velcro Closure &amp; Gentle Cushioned Lining | Lightweight Baby Boy Footwear for First Steps
</t>
        </is>
      </c>
      <c r="I19" s="48" t="inlineStr">
        <is>
          <t>Baby Boys Navy Beige Booties</t>
        </is>
      </c>
      <c r="J19" s="49" t="inlineStr">
        <is>
          <t xml:space="preserve">Navy Beige Baby Boy Soft Sole Booties with Dual Velcro Straps </t>
        </is>
      </c>
      <c r="K19" s="49">
        <f>IFERROR(__xludf.DUMMYFUNCTION("AI(""Fill an appropriate value for this cell based on the table context"")"),"Kids Boys Navy Beige Soft Sole Booties with Dual Velcro Straps and Cushioned Comfort Design")</f>
        <v/>
      </c>
      <c r="L19" s="49">
        <f>IFERROR(__xludf.DUMMYFUNCTION("AI(""Fill an appropriate value for this cell based on the table context"")"),"Toothless Kids Boys Navy Beige Soft Sole Booties with Dual Velcro Straps and Cushioned Lining for First Steps")</f>
        <v/>
      </c>
      <c r="M19" s="51" t="inlineStr">
        <is>
          <t>SOFT FLEXIBLE SOLE SUPPORT: Toothless baby booties feature a soft, flexible sole engineered for natural foot movement while providing gentle support. The lightweight structure protects delicate baby feet, making them ideal for crawling, early steps, and everyday exploration.
ADJUSTABLE VELCRO FIT: Designed with secure dual velcro straps, Toothless baby shoes ensure easy wear and a snug adjustable fit. This functional closure allows quick dressing while keeping the footwear comfortably secured during movement and playtime.
LIGHTWEIGHT COMFORT DESIGN: Toothless baby booties feature a lightweight design that helps reduce pressure on delicate feet while supporting natural movement. The balanced structure allows babies to crawl, stand, and explore comfortably throughout everyday playtime activities.
CUSHIONED INNER COMFORT: The soft cushioned interior lining enhances comfort and protects delicate baby skin. Toothless booties provide a cozy, supportive environment for little feet, ensuring gentle contact and breathable comfort throughout daily wear.
SUPPORTIVE SHAPE FOR LITTLE FEET: The well-shaped design helps maintain proper positioning of the baby’s feet while worn. This supportive form keeps the booties comfortably in place during playtime and early walking exploration.</t>
        </is>
      </c>
      <c r="N19" s="48" t="inlineStr">
        <is>
          <t>Thoughtfully designed for tiny steps and growing curiosity, these Toothless baby booties by Purple United blend comfort, protection, and adorable style in one premium design. Crafted with a soft cushioned interior and gentle flexible sole, these baby shoes support natural foot movement while keeping delicate feet comfortable throughout the day.
The secure double velcro straps allow easy wear and a snug adjustable fit, making them practical for everyday baby movement. The soft upper construction with detailed stitching adds durability while maintaining a lightweight feel ideal for early walkers and crawlers.
Designed for both comfort and style, these baby boy shoes offer dependable grip and a cozy interior lining, making them a reliable choice for playtime, outings, and daily wear. With refined finishing and thoughtful design, this baby footwear reflects Purple United’s commitment to premium kids fashion and comfort-first craftsmanship.</t>
        </is>
      </c>
    </row>
    <row r="20">
      <c r="A20" s="42" t="n"/>
      <c r="B20" s="52" t="inlineStr">
        <is>
          <t>TBBTBA003028</t>
        </is>
      </c>
      <c r="C20" s="26" t="inlineStr">
        <is>
          <t>FOOTWEAR</t>
        </is>
      </c>
      <c r="D20" s="19" t="inlineStr">
        <is>
          <t>BOOTIES</t>
        </is>
      </c>
      <c r="E20" s="27" t="inlineStr">
        <is>
          <t>KIDS BOYS</t>
        </is>
      </c>
      <c r="F20" s="34" t="inlineStr">
        <is>
          <t>BEIGE</t>
        </is>
      </c>
      <c r="G20" s="34" t="inlineStr">
        <is>
          <t>TBBTBA003028BEIGE</t>
        </is>
      </c>
      <c r="H20" s="49" t="inlineStr">
        <is>
          <t>Toothless Boys Baby Booties with Contrast Stitch Detailing &amp; Cushioned Footbed | Soft Sole Baby Boy Footwear | Made for All Day Comfort</t>
        </is>
      </c>
      <c r="I20" s="48" t="inlineStr">
        <is>
          <t>Boys Little Trail Baby Booties</t>
        </is>
      </c>
      <c r="J20" s="49" t="inlineStr">
        <is>
          <t>Boys Little Trail Baby Beige Booties with Easy Velcro Strap Fit</t>
        </is>
      </c>
      <c r="K20" s="49">
        <f>IFERROR(__xludf.DUMMYFUNCTION("AI(""Fill an appropriate value for this cell based on the table context"")"),"Kids Boys Little Trail Baby Booties in Beige with Dual Velcro Straps and Textured Anti-Slip Sole")</f>
        <v/>
      </c>
      <c r="L20" s="49">
        <f>IFERROR(__xludf.DUMMYFUNCTION("AI(""Fill an appropriate value for this cell based on the table context"")"),"Toothless Kids Boys Beige Baby Booties with Contrast Stitch Detailing &amp; Cushioned Footbed for All Day Comfort")</f>
        <v/>
      </c>
      <c r="M20" s="51" t="inlineStr">
        <is>
          <t>DUAL VELCRO FASTENING SYSTEM: Two adjustable velcro straps allow quick wear and secure adjustment. The dual fastening design helps keep the booties firmly in place while babies crawl, stand, and explore during their early walking stages.
TEXTURED ANTI-SLIP OUTSOLE: The outsole features a textured grip pattern designed to provide better traction on indoor surfaces. This helps support stability when babies begin standing, cruising along furniture, and taking their first steps.
PADDED ANKLE COLLAR SUPPORT: A softly padded ankle collar surrounds the foot opening to help reduce friction while keeping the booties comfortably positioned. This design helps maintain a secure feel during crawling and everyday movement.
STRUCTURED TOE PROTECTION: The reinforced front area helps protect tiny toes during crawling and early steps. This structure also helps the booties maintain their shape while supporting everyday baby movement and activity.
LIGHTWEIGHT BOOTIE SILHOUETTE: The compact bootie design keeps the footwear light and easy for babies to move in. This balanced shape supports crawling, standing, and early walking without feeling bulky on delicate feet.</t>
        </is>
      </c>
      <c r="N20" s="48" t="inlineStr">
        <is>
          <t>Designed for tiny explorers and their first adventures, these baby booties combine playful design with everyday practicality. The distinctive strap detail adds character to the footwear while the dual velcro fastening ensures easy wear and a secure adjustable fit. Parents can conveniently slip the shoes on and off while keeping the booties comfortably in place during crawling, standing, and early walking attempts.
The thoughtfully shaped silhouette helps maintain a balanced fit around little feet, while the padded ankle area offers gentle support for all-day movement. A textured outsole enhances grip on indoor surfaces, helping babies stay stable as they begin to explore their surroundings. The lightweight build allows natural movement without adding unnecessary weight, making the booties ideal for daily activities, playtime, and outings.
Designed with both style and functionality in mind, these baby booties deliver dependable comfort, secure fastening, and a charming kidswear aesthetic that perfectly complements everyday baby outfits.</t>
        </is>
      </c>
    </row>
    <row r="21">
      <c r="A21" s="42" t="n"/>
      <c r="B21" s="52" t="inlineStr">
        <is>
          <t>TBBTBA003028</t>
        </is>
      </c>
      <c r="C21" s="27" t="inlineStr">
        <is>
          <t>FOOTWEAR</t>
        </is>
      </c>
      <c r="D21" s="19" t="inlineStr">
        <is>
          <t>BOOTIES</t>
        </is>
      </c>
      <c r="E21" s="27" t="inlineStr">
        <is>
          <t>KIDS BOYS</t>
        </is>
      </c>
      <c r="F21" s="34" t="inlineStr">
        <is>
          <t>NAVY</t>
        </is>
      </c>
      <c r="G21" s="34" t="inlineStr">
        <is>
          <t>TBBTBA003028NAVY</t>
        </is>
      </c>
      <c r="H21" s="49" t="inlineStr">
        <is>
          <t>Toothless Boys Baby Booties with Contrast Stitch Detailing &amp; Cushioned Footbed | Soft Sole Baby Boy Footwear | Made for All Day Comfort</t>
        </is>
      </c>
      <c r="I21" s="48" t="inlineStr">
        <is>
          <t>Boys Trail Navy Baby Booties</t>
        </is>
      </c>
      <c r="J21" s="49" t="inlineStr">
        <is>
          <t>Boys Baby Booties with Textured Grip Sole &amp; Padded Ankle Support</t>
        </is>
      </c>
      <c r="K21" s="49">
        <f>IFERROR(__xludf.DUMMYFUNCTION("AI(""Fill an appropriate value for this cell based on the table context"")"),"Toothless Boys Baby Booties in Navy with Dual Velcro Straps, Textured Grip Sole &amp; Padded Ankle Support")</f>
        <v/>
      </c>
      <c r="L21" s="49">
        <f>IFERROR(__xludf.DUMMYFUNCTION("AI(""Fill an appropriate value for this cell based on the table context"")"),"Toothless Boys Baby Booties with Contrast Stitching and Textured Anti-Slip Outsole - Navy")</f>
        <v/>
      </c>
      <c r="M21" s="51" t="inlineStr">
        <is>
          <t>DUAL VELCRO FASTENING SYSTEM: Two adjustable velcro straps allow quick wear and secure adjustment. The dual fastening design helps keep the booties firmly in place while babies crawl, stand, and explore during their early walking stages.
TEXTURED ANTI-SLIP OUTSOLE: The outsole features a textured grip pattern designed to provide better traction on indoor surfaces. This helps support stability when babies begin standing, cruising along furniture, and taking their first steps.
PADDED ANKLE COLLAR SUPPORT: A softly padded ankle collar surrounds the foot opening to help reduce friction while keeping the booties comfortably positioned. This design helps maintain a secure feel during crawling and everyday movement.
STRUCTURED TOE PROTECTION: The reinforced front area helps protect tiny toes during crawling and early steps. This structure also helps the booties maintain their shape while supporting everyday baby movement and activity.
LIGHTWEIGHT BOOTIE SILHOUETTE: The compact bootie design keeps the footwear light and easy for babies to move in. This balanced shape supports crawling, standing, and early walking without feeling bulky on delicate feet.</t>
        </is>
      </c>
      <c r="N21" s="48" t="inlineStr">
        <is>
          <t>Designed for tiny explorers and their first adventures, these baby booties combine playful design with everyday practicality. The distinctive strap detail adds character to the footwear while the dual velcro fastening ensures easy wear and a secure adjustable fit. Parents can conveniently slip the shoes on and off while keeping the booties comfortably in place during crawling, standing, and early walking attempts.
The thoughtfully shaped silhouette helps maintain a balanced fit around little feet, while the padded ankle area offers gentle support for all-day movement. A textured outsole enhances grip on indoor surfaces, helping babies stay stable as they begin to explore their surroundings. The lightweight build allows natural movement without adding unnecessary weight, making the booties ideal for daily activities, playtime, and outings.
Designed with both style and functionality in mind, these baby booties deliver dependable comfort, secure fastening, and a charming kidswear aesthetic that perfectly complements everyday baby outfits.</t>
        </is>
      </c>
    </row>
    <row r="22">
      <c r="A22" s="42" t="n"/>
      <c r="B22" s="19" t="inlineStr">
        <is>
          <t>TGBTBA002186</t>
        </is>
      </c>
      <c r="C22" s="27" t="inlineStr">
        <is>
          <t>FOOTWEAR</t>
        </is>
      </c>
      <c r="D22" s="19" t="inlineStr">
        <is>
          <t>BOOTIES</t>
        </is>
      </c>
      <c r="E22" s="26" t="inlineStr">
        <is>
          <t>KIDS GIRLS</t>
        </is>
      </c>
      <c r="F22" s="27" t="inlineStr">
        <is>
          <t>CREAM</t>
        </is>
      </c>
      <c r="G22" s="27" t="inlineStr">
        <is>
          <t>TGBTBA002186-CREAM</t>
        </is>
      </c>
      <c r="H22" s="49" t="inlineStr">
        <is>
          <t>Toothless Kids Girls Cream Bow Accent Booties with Metallic Highlights &amp; Elegant Infant Shoe Design | Dressy Infant Style Baby Girl Shoes &amp; Infant Baby Footwear</t>
        </is>
      </c>
      <c r="I22" s="48" t="inlineStr">
        <is>
          <t>Girls Cream Bow Baby Booties</t>
        </is>
      </c>
      <c r="J22" s="49" t="inlineStr">
        <is>
          <t>Girls Bow Detail Infant Cream Booties with Elegant Everyday Style</t>
        </is>
      </c>
      <c r="K22" s="49">
        <f>IFERROR(__xludf.DUMMYFUNCTION("AI(""Fill an appropriate value for this cell based on the table context"")"),"Toothless Kids Girls Cream Bow Accent Booties with Soft Inner Lining and Lightweight Comfort Design")</f>
        <v/>
      </c>
      <c r="L22" s="49">
        <f>IFERROR(__xludf.DUMMYFUNCTION("AI(""Fill an appropriate value for this cell based on the table context"")"),"Purple United Kids Girls Cream Bow Accent Booties with Elegant Design and Soft Sole for Infants")</f>
        <v/>
      </c>
      <c r="M22" s="51" t="inlineStr">
        <is>
          <t>BOW DETAIL DESIGN: Toothless baby booties feature a charming bow embellishment with subtle metallic accents, adding a stylish touch to the footwear while maintaining a playful look that pairs beautifully with dresses and everyday baby outfits.
CLASSIC MARY JANE SILHOUETTE: Designed with a timeless Mary Jane style, these baby girl shoes offer a neat and elegant shape that keeps little feet comfortably positioned while complementing both casual and dressy baby clothing.
SOFT INNER LINING: The gentle interior lining helps keep delicate baby feet comfortable throughout wear. The smooth inner surface reduces irritation and provides a cozy environment for babies during crawling, standing, and everyday movement.
LIGHTWEIGHT BABY FOOTWEAR: The thoughtfully designed structure keeps the booties light and easy for babies to move in, allowing natural foot motion during early walking stages while maintaining stability and balance.
EVERYDAY INFANT STYLE: These Toothless baby booties combine adorable design with practical wearability, making them suitable for daily outings, family gatherings, and special occasions while complementing a variety of baby girl outfits.</t>
        </is>
      </c>
      <c r="N22" s="48" t="inlineStr">
        <is>
          <t>Designed for tiny steps and adorable moments, these Purple United Kids Girls Baby Booties blend elegant styling with everyday comfort for little ones. Crafted with a soft upper and gentle inner lining, these baby girl shoes are specially designed to provide a cozy and supportive feel for delicate baby feet. The charming bow detail on the front adds a playful yet stylish touch, making them perfect for outings, celebrations, and everyday wear.
The convenient Velcro strap closure ensures easy wearing while keeping the booties securely in place as babies move, crawl, or take their first steps. A soft cushioned sole supports natural foot movement and provides gentle grip for better stability.
Lightweight and thoughtfully designed, these baby booties offer flexibility, breathability, and lasting comfort throughout the day. Whether paired with dresses, rompers, or casual outfits, these baby girl shoes complete every look with a refined finish.
Perfect as baby footwear for infants and toddlers, these stylish booties bring together comfort, practicality, and charming design, making them a must-have addition to your little girl’s wardrobe.</t>
        </is>
      </c>
    </row>
    <row r="23">
      <c r="A23" s="42" t="n"/>
      <c r="B23" s="19" t="inlineStr">
        <is>
          <t>TGBTBA002186</t>
        </is>
      </c>
      <c r="C23" s="27" t="inlineStr">
        <is>
          <t>FOOTWEAR</t>
        </is>
      </c>
      <c r="D23" s="19" t="inlineStr">
        <is>
          <t>BOOTIES</t>
        </is>
      </c>
      <c r="E23" s="27" t="inlineStr">
        <is>
          <t>KIDS GIRLS</t>
        </is>
      </c>
      <c r="F23" s="27" t="inlineStr">
        <is>
          <t>TAN</t>
        </is>
      </c>
      <c r="G23" s="27" t="inlineStr">
        <is>
          <t>TGBTBA002186-TAN</t>
        </is>
      </c>
      <c r="H23" s="49" t="inlineStr">
        <is>
          <t>Toothless Kids Girls Tan Bow Accent Booties with Metallic Highlights &amp; Elegant Infant Shoe Design | Dressy Infant Style Baby Girl Shoes &amp; Infant Baby Footwear</t>
        </is>
      </c>
      <c r="I23" s="48" t="inlineStr">
        <is>
          <t>Girls Tan Bow Baby Booties</t>
        </is>
      </c>
      <c r="J23" s="49" t="inlineStr">
        <is>
          <t>Girls Bow Detail Infant Tan Booties with Elegant Everyday Style</t>
        </is>
      </c>
      <c r="K23" s="49">
        <f>IFERROR(__xludf.DUMMYFUNCTION("AI(""Fill an appropriate value for this cell based on the table context"")"),"Kids Girls Tan Bow Booties with Metallic Highlights, Mary Jane Silhouette &amp; Soft Comfort Sole")</f>
        <v/>
      </c>
      <c r="L23" s="49">
        <f>IFERROR(__xludf.DUMMYFUNCTION("AI(""Fill an appropriate value for this cell based on the table context"")"),"Purple United Kids Girls Tan Bow Accent Booties with Elegant Design for Everyday Wear")</f>
        <v/>
      </c>
      <c r="M23" s="51" t="inlineStr">
        <is>
          <t>BOW DETAIL DESIGN: Toothless baby booties feature a charming bow embellishment with subtle metallic accents, adding a stylish touch to the footwear while maintaining a playful look that pairs beautifully with dresses and everyday baby outfits.
CLASSIC MARY JANE SILHOUETTE: Designed with a timeless Mary Jane style, these baby girl shoes offer a neat and elegant shape that keeps little feet comfortably positioned while complementing both casual and dressy baby clothing.
SOFT INNER LINING: The gentle interior lining helps keep delicate baby feet comfortable throughout wear. The smooth inner surface reduces irritation and provides a cozy environment for babies during crawling, standing, and everyday movement.
LIGHTWEIGHT BABY FOOTWEAR: The thoughtfully designed structure keeps the booties light and easy for babies to move in, allowing natural foot motion during early walking stages while maintaining stability and balance.
EVERYDAY INFANT STYLE: These Toothless baby booties combine adorable design with practical wearability, making them suitable for daily outings, family gatherings, and special occasions while complementing a variety of baby girl outfits.</t>
        </is>
      </c>
      <c r="N23" s="48" t="inlineStr">
        <is>
          <t>Designed for tiny steps and adorable moments, these Purple United Kids Girls Baby Booties blend elegant styling with everyday comfort for little ones. Crafted with a soft upper and gentle inner lining, these baby girl shoes are specially designed to provide a cozy and supportive feel for delicate baby feet. The charming bow detail on the front adds a playful yet stylish touch, making them perfect for outings, celebrations, and everyday wear.
The convenient Velcro strap closure ensures easy wearing while keeping the booties securely in place as babies move, crawl, or take their first steps. A soft cushioned sole supports natural foot movement and provides gentle grip for better stability.
Lightweight and thoughtfully designed, these baby booties offer flexibility, breathability, and lasting comfort throughout the day. Whether paired with dresses, rompers, or casual outfits, these baby girl shoes complete every look with a refined finish.
Perfect as baby footwear for infants and toddlers, these stylish booties bring together comfort, practicality, and charming design, making them a must-have addition to your little girl’s wardrobe.</t>
        </is>
      </c>
    </row>
    <row r="24">
      <c r="A24" s="42" t="n"/>
      <c r="B24" s="34" t="inlineStr">
        <is>
          <t>TGBTBA003026</t>
        </is>
      </c>
      <c r="C24" s="34" t="inlineStr">
        <is>
          <t>FOOTWEAR</t>
        </is>
      </c>
      <c r="D24" s="34" t="inlineStr">
        <is>
          <t>BOOTIES</t>
        </is>
      </c>
      <c r="E24" s="34" t="inlineStr">
        <is>
          <t>KIDS GIRLS</t>
        </is>
      </c>
      <c r="F24" s="34" t="inlineStr">
        <is>
          <t>GOLDEN</t>
        </is>
      </c>
      <c r="G24" s="34" t="inlineStr">
        <is>
          <t>TGBTBA003026-GOLDEN</t>
        </is>
      </c>
      <c r="H24" s="49" t="inlineStr">
        <is>
          <t>Toothless Baby Girl Booties with Ornamental Floral Texture &amp; Refined Finish | Elegant Baby Footwear Designed for Festive Moments and Graceful Everyday Baby Styling</t>
        </is>
      </c>
      <c r="I24" s="48" t="inlineStr">
        <is>
          <t>Girls Golden Baby Booties</t>
        </is>
      </c>
      <c r="J24" s="49" t="inlineStr">
        <is>
          <t>Girls Decorative Floral Golden Booties for Occasion Dressing</t>
        </is>
      </c>
      <c r="K24" s="49">
        <f>IFERROR(__xludf.DUMMYFUNCTION("AI(""Fill an appropriate value for this cell based on the table context"")"),"Toothless Kids Girls Golden Baby Booties with Textured Floral Upper, Structured Toe Shape &amp; Stable Base Support for Infants")</f>
        <v/>
      </c>
      <c r="L24" s="49">
        <f>IFERROR(__xludf.DUMMYFUNCTION("AI(""Fill an appropriate value for this cell based on the table context"")"),"Purple United Kids Girls Golden Booties with Ornamental Floral Texture for Festive and Everyday Wear")</f>
        <v/>
      </c>
      <c r="M24" s="51" t="inlineStr">
        <is>
          <t>TEXTURED FLORAL UPPER: Toothless baby girl booties feature a beautifully embossed floral upper that adds depth and character to the footwear, creating a visually rich surface that enhances the overall look of baby outfits.
STRUCTURED TOE SHAPE: The rounded front profile helps maintain space for tiny toes while supporting natural foot positioning. This thoughtful shape keeps the booties comfortable for babies during crawling, standing, or early walking moments.
STABLE BASE SUPPORT: The base design helps provide balanced support for delicate baby feet, helping maintain better stability when babies move, crawl, or begin taking their first steps indoors.
EASY ON-OFF WEARABILITY: Designed to simplify daily dressing, these infant shoes are easy to put on and remove, allowing parents to quickly prepare babies for outings, playtime, or family gatherings.
OCCASION-READY BABY FOOTWEAR: The elegant golden finish and detailed surface design make these booties suitable for celebrations, photoshoots, and special events while still remaining practical for everyday baby wear.</t>
        </is>
      </c>
      <c r="N24" s="48" t="inlineStr">
        <is>
          <t>The Toothless by Purple United Kids Baby Booties are thoughtfully designed to provide comfort, style, and support for little feet during their earliest stages. Created for newborns and growing infants, these elegant baby girl shoes feature a classic Mary Jane inspired design that blends timeless charm with everyday practicality. The gentle structure keeps the footwear soft and flexible, allowing babies to move their feet naturally while staying comfortably supported.
The easy-to-wear strap helps secure the booties in place, making them convenient for parents while ensuring the shoes stay snug on delicate baby feet. The base features grip panels that help provide stability during crawling, standing, and early walking moments. This makes them a dependable choice for daily wear as well as special occasions.
With its charming design and infant-friendly comfort, these baby shoe booties are perfect for babies aged 0–24 months. Whether paired with dresses or casual outfits, these baby girl shoes bring together adorable style and practical comfort for every little step.</t>
        </is>
      </c>
    </row>
    <row r="25">
      <c r="A25" s="42" t="n"/>
      <c r="B25" s="34" t="inlineStr">
        <is>
          <t>TGBTBA003026</t>
        </is>
      </c>
      <c r="C25" s="34" t="inlineStr">
        <is>
          <t>FOOTWEAR</t>
        </is>
      </c>
      <c r="D25" s="34" t="inlineStr">
        <is>
          <t>BOOTIES</t>
        </is>
      </c>
      <c r="E25" s="34" t="inlineStr">
        <is>
          <t>KIDS GIRLS</t>
        </is>
      </c>
      <c r="F25" s="34" t="inlineStr">
        <is>
          <t>PINK</t>
        </is>
      </c>
      <c r="G25" s="34" t="inlineStr">
        <is>
          <t>TGBTBA003026-PINK</t>
        </is>
      </c>
      <c r="H25" s="49" t="inlineStr">
        <is>
          <t>Toothless Baby Girl Booties with Ornamental Floral Texture &amp; Refined Finish | Elegant Baby Footwear Designed for Festive Moments and Graceful Everyday Baby Styling</t>
        </is>
      </c>
      <c r="I25" s="48" t="inlineStr">
        <is>
          <t>Girls Pink Floral Baby Booties</t>
        </is>
      </c>
      <c r="J25" s="49" t="inlineStr">
        <is>
          <t>Girls Decorative Floral Pink Booties for Occasion Dressing</t>
        </is>
      </c>
      <c r="K25" s="49">
        <f>IFERROR(__xludf.DUMMYFUNCTION("AI(""Fill an appropriate value for this cell based on the table context"")"),"Kids Girls Pink Baby Booties with Ornamental Floral Texture, Mary Jane Profile &amp; Soft Flexible Sole Design")</f>
        <v/>
      </c>
      <c r="L25" s="49">
        <f>IFERROR(__xludf.DUMMYFUNCTION("AI(""Fill an appropriate value for this cell based on the table context"")"),"Toothless Baby Girl Pink Booties with Ornamental Floral Texture and Soft Sole for Infants and Newborns")</f>
        <v/>
      </c>
      <c r="M25" s="51" t="inlineStr">
        <is>
          <t>TEXTURED FLORAL UPPER: Toothless baby girl booties feature a beautifully embossed floral upper that adds depth and character to the footwear, creating a visually rich surface that enhances the overall look of baby outfits.
STRUCTURED TOE SHAPE: The rounded front profile helps maintain space for tiny toes while supporting natural foot positioning. This thoughtful shape keeps the booties comfortable for babies during crawling, standing, or early walking moments.
STABLE BASE SUPPORT: The base design helps provide balanced support for delicate baby feet, helping maintain better stability when babies move, crawl, or begin taking their first steps indoors.
EASY ON-OFF WEARABILITY: Designed to simplify daily dressing, these infant shoes are easy to put on and remove, allowing parents to quickly prepare babies for outings, playtime, or family gatherings.
OCCASION-READY BABY FOOTWEAR: The elegant finish and detailed surface design make these booties suitable for celebrations, photoshoots, and special events while still remaining practical for everyday baby wear.</t>
        </is>
      </c>
      <c r="N25" s="48" t="inlineStr">
        <is>
          <t>The Toothless by Purple United Kids Baby Booties are thoughtfully designed to provide comfort, style, and support for little feet during their earliest stages. Created for newborns and growing infants, these elegant baby girl shoes feature a classic Mary Jane inspired design that blends timeless charm with everyday practicality. The gentle structure keeps the footwear soft and flexible, allowing babies to move their feet naturally while staying comfortably supported.
The easy-to-wear strap helps secure the booties in place, making them convenient for parents while ensuring the shoes stay snug on delicate baby feet. The base features grip panels that help provide stability during crawling, standing, and early walking moments. This makes them a dependable choice for daily wear as well as special occasions.
With its charming design and infant-friendly comfort, these baby shoe booties are perfect for babies aged 0–24 months. Whether paired with dresses or casual outfits, these baby girl shoes bring together adorable style and practical comfort for every little step.</t>
        </is>
      </c>
    </row>
    <row r="26">
      <c r="A26" s="42" t="n"/>
      <c r="B26" s="34" t="inlineStr">
        <is>
          <t>TGBTFA002192</t>
        </is>
      </c>
      <c r="C26" s="34" t="inlineStr">
        <is>
          <t>FOOTWEAR</t>
        </is>
      </c>
      <c r="D26" s="34" t="inlineStr">
        <is>
          <t>BOOTIES</t>
        </is>
      </c>
      <c r="E26" s="34" t="inlineStr">
        <is>
          <t>KIDS GIRLS</t>
        </is>
      </c>
      <c r="F26" s="34" t="inlineStr">
        <is>
          <t>GOLD</t>
        </is>
      </c>
      <c r="G26" s="34" t="inlineStr">
        <is>
          <t>TGBTFA002192-GOLD</t>
        </is>
      </c>
      <c r="H26" s="49" t="inlineStr">
        <is>
          <t>Toothless Gold Baby Girl Booties with Butterfly Appliqué Design &amp; Glitter Texture Upper | Infant Baby Footwear with Flexible Base and Soft Grip Sole for Tiny Steps</t>
        </is>
      </c>
      <c r="I26" s="35" t="inlineStr">
        <is>
          <t>Girls Gold Butterfly Booties</t>
        </is>
      </c>
      <c r="J26" s="49" t="inlineStr">
        <is>
          <t>Girls Gold Butterfly Embellished Baby Booties with Glitter Finish</t>
        </is>
      </c>
      <c r="K26" s="49">
        <f>IFERROR(__xludf.DUMMYFUNCTION("AI(""Fill an appropriate value for this cell based on the table context"")"),"Kids Girls Gold Butterfly Embellished Baby Booties with Glitter Finish and Soft Sole Comfort Design")</f>
        <v/>
      </c>
      <c r="L26" s="49">
        <f>IFERROR(__xludf.DUMMYFUNCTION("AI(""Fill an appropriate value for this cell based on the table context"")"),"Toothless Kids Girls Gold Glitter Baby Booties with Butterfly Detail and Soft Sole for Infants")</f>
        <v/>
      </c>
      <c r="M26" s="51" t="inlineStr">
        <is>
          <t>BUTTERFLY ORNAMENT DESIGN: Toothless baby girl booties feature a delicate butterfly ornament that adds a charming decorative touch. The elegant design enhances the visual appeal, making these booties perfect for celebrations, photoshoots, and stylish baby outfits.
GLITTER TEXTURE UPPER: Designed with a sparkling textured surface, these baby booties bring a beautiful shine that elevates every outfit. The refined finish adds a festive and graceful look, making them ideal for special occasions.
SOFT INNER COMFORT FEEL: The inner lining is thoughtfully designed to provide a smooth and gentle feel for delicate baby feet. It ensures comfortable wear while keeping tiny feet relaxed during outings, events, or daily baby styling.
FLEXIBLE SOLE FOR NATURAL MOVEMENT: The flexible base allows natural foot movement and supports developing baby feet. The thoughtfully designed sole helps maintain comfort while babies move, stretch, or explore their surroundings.
EASY DAILY WEAR DESIGN: Created for practical everyday use, these booties are easy to put on and remove, helping parents dress babies quickly while keeping the footwear comfortably positioned on little feet.</t>
        </is>
      </c>
      <c r="N26" s="48" t="inlineStr">
        <is>
          <t>The Toothless Gold Baby Girl Booties are thoughtfully designed to blend charm, elegance, and infant comfort into a single piece of baby footwear. Featuring a beautifully textured glitter surface and a delicate butterfly embellishment, these baby booties create an adorable yet stylish look that complements both casual and occasion wear.
Crafted especially for delicate baby feet, the gentle structure allows natural movement while keeping the booties comfortably positioned during wear. The rounded front profile provides space for tiny toes, while the easy-wear design makes them convenient for parents to put on and remove.
The base is designed with grip panels that help provide added stability during crawling and early standing moments. This makes the footwear suitable for everyday indoor use while also being perfect for celebrations and memorable occasions.
Whether styled with dresses or festive outfits, these baby girl shoes offer a beautiful balance of comfort and decorative appeal. Ideal for infants from 0–24 months, these Toothless baby booties add elegance to every little step.</t>
        </is>
      </c>
    </row>
    <row r="27">
      <c r="A27" s="42" t="n"/>
      <c r="B27" s="34" t="inlineStr">
        <is>
          <t>TGBABS003082</t>
        </is>
      </c>
      <c r="C27" s="34" t="inlineStr">
        <is>
          <t>FOOTWEAR</t>
        </is>
      </c>
      <c r="D27" s="34" t="inlineStr">
        <is>
          <t>BALLERINAS</t>
        </is>
      </c>
      <c r="E27" s="34" t="inlineStr">
        <is>
          <t>GIRLS</t>
        </is>
      </c>
      <c r="F27" s="34" t="inlineStr">
        <is>
          <t>ROSE GOLD</t>
        </is>
      </c>
      <c r="G27" s="34" t="inlineStr">
        <is>
          <t>TGBABS003082-ROSE GOLD</t>
        </is>
      </c>
      <c r="H27" s="49" t="inlineStr">
        <is>
          <t>Toothless Kids Girls Ballerina Flats with Shimmer Texture Upper, Crystal Buckle Bow Detail &amp; Cushioned Comfort Insole | Elegant Bellies Flats for Girls | Stylish Kids Footwear for Girls</t>
        </is>
      </c>
      <c r="I27" s="48" t="inlineStr">
        <is>
          <t>Girls Rose Gold Ballerinas</t>
        </is>
      </c>
      <c r="J27" s="49" t="inlineStr">
        <is>
          <t>Girls Rose Gold Shimmer Ballerina Flats with Jewel Bow Detail</t>
        </is>
      </c>
      <c r="K27" s="49">
        <f>IFERROR(__xludf.DUMMYFUNCTION("AI(""Fill an appropriate value for this cell based on the table context"")"),"Toothless Kids Girls Ballerina Flats in Rose Gold with Shimmer Texture &amp; Jewel Bow Detail")</f>
        <v/>
      </c>
      <c r="L27" s="49">
        <f>IFERROR(__xludf.DUMMYFUNCTION("AI(""Fill an appropriate value for this cell based on the table context"")"),"Toothless Kids Girls Rose Gold Ballerina Flats with Jewel Bow Detail and Shimmer Finish Upper")</f>
        <v/>
      </c>
      <c r="M27" s="51" t="inlineStr">
        <is>
          <t>ELEGANT SHIMMER TEXTURE: Crafted with a refined shimmer texture, these Toothless ballerina flats bring a graceful luminous finish that elevates festive outfits and everyday styling with a subtle, sophisticated shine.
DECORATIVE JEWEL BOW DETAIL: A beautifully structured bow accent with jewel-inspired buckle detailing enhances the design, creating a charming focal point that adds elegance and character to these ballerina flats.
CLASSIC BALLERINA SILHOUETTE: Designed in a timeless ballerina profile, these flats provide a sleek and versatile shape that complements dresses, occasion wear, and casual outfits while maintaining a polished fashion-forward look.
CUSHIONED INNER FOOTBED: The soft cushioned insole and smooth inner lining offer gentle comfort for growing feet, helping ensure relaxed wear during outings, celebrations, or everyday activities.
FLEXIBLE GRIP OUTSOLE: The flexible outsole with textured grip supports natural movement and helps provide better stability while walking, allowing kids to move confidently throughout the day.</t>
        </is>
      </c>
      <c r="N27" s="48" t="inlineStr">
        <is>
          <t>The Toothless Kids Girls Ballerina Flats are designed to bring together elegance, comfort, and refined detailing for young fashion enthusiasts. Featuring a beautifully textured shimmer upper in a graceful colour tone, these ballerina flats create a subtle luminous finish that enhances both festive and everyday outfits.
A decorative bow with jewel-inspired buckle detailing adds a charming focal element, giving the footwear a sophisticated yet playful appeal. The classic ballerina silhouette offers a timeless shape that pairs effortlessly with dresses, occasion wear, and stylish casual looks.
Inside, the smooth cushioned footbed provides gentle comfort for growing feet, while the soft inner lining ensures a pleasant wearing experience throughout the day. The flexible outsole with textured grip helps maintain stability during movement, making the flats suitable for both indoor and outdoor activities.
Thoughtfully designed for style and practicality, these Toothless ballerina flats for girls combine graceful aesthetics with functional comfort. Whether worn for celebrations, family gatherings, or everyday styling, they add a polished finishing touch to a young girl’s wardrobe.</t>
        </is>
      </c>
    </row>
    <row r="28">
      <c r="A28" s="42" t="n"/>
      <c r="B28" s="34" t="inlineStr">
        <is>
          <t>TGBABS003082</t>
        </is>
      </c>
      <c r="C28" s="34" t="inlineStr">
        <is>
          <t>FOOTWEAR</t>
        </is>
      </c>
      <c r="D28" s="34" t="inlineStr">
        <is>
          <t>BALLERINAS</t>
        </is>
      </c>
      <c r="E28" s="34" t="inlineStr">
        <is>
          <t>GIRLS</t>
        </is>
      </c>
      <c r="F28" s="34" t="inlineStr">
        <is>
          <t>SILVER</t>
        </is>
      </c>
      <c r="G28" s="34" t="inlineStr">
        <is>
          <t>TGBABS003082-SILVER</t>
        </is>
      </c>
      <c r="H28" s="49" t="inlineStr">
        <is>
          <t>Toothless Kids Girls Ballerina Flats with Shimmer Texture Upper, Crystal Buckle Bow Detail &amp; Cushioned Comfort Insole | Elegant Bellies Flats for Girls | Stylish Kids Footwear for Girls</t>
        </is>
      </c>
      <c r="I28" s="48" t="inlineStr">
        <is>
          <t>Kids Girls Silver Ballerinas</t>
        </is>
      </c>
      <c r="J28" s="49" t="inlineStr">
        <is>
          <t>Girls Silver Shimmer Ballerina Flats with Jewel Bow Detail</t>
        </is>
      </c>
      <c r="K28" s="49">
        <f>IFERROR(__xludf.DUMMYFUNCTION("AI(""Fill an appropriate value for this cell based on the table context"")"),"Kids Girls Ballerinas in Silver with Shimmer Texture, Jewel Bow Detail &amp; Cushioned Comfort Design")</f>
        <v/>
      </c>
      <c r="L28" s="49">
        <f>IFERROR(__xludf.DUMMYFUNCTION("AI(""Fill an appropriate value for this cell based on the table context"")"),"Toothless Kids Girls Silver Ballerina Flats with Shimmer Texture &amp; Jewel Bow Detail")</f>
        <v/>
      </c>
      <c r="M28" s="51" t="inlineStr">
        <is>
          <t>ELEGANT SHIMMER TEXTURE: Crafted with a refined shimmer texture, these Toothless ballerina flats bring a graceful luminous finish that elevates festive outfits and everyday styling with a subtle, sophisticated shine.
DECORATIVE JEWEL BOW DETAIL: A beautifully structured bow accent with jewel-inspired buckle detailing enhances the design, creating a charming focal point that adds elegance and character to these ballerina flats.
CLASSIC BALLERINA SILHOUETTE: Designed in a timeless ballerina profile, these flats provide a sleek and versatile shape that complements dresses, occasion wear, and casual outfits while maintaining a polished fashion-forward look.
CUSHIONED INNER FOOTBED: The soft cushioned insole and smooth inner lining offer gentle comfort for growing feet, helping ensure relaxed wear during outings, celebrations, or everyday activities.
FLEXIBLE GRIP OUTSOLE: The flexible outsole with textured grip supports natural movement and helps provide better stability while walking, allowing kids to move confidently throughout the day.</t>
        </is>
      </c>
      <c r="N28" s="48" t="inlineStr">
        <is>
          <t>The Toothless Kids Girls Ballerina Flats are designed to bring together elegance, comfort, and refined detailing for young fashion enthusiasts. Featuring a beautifully textured shimmer upper in a graceful colour tone, these ballerina flats create a subtle luminous finish that enhances both festive and everyday outfits.
A decorative bow with jewel-inspired buckle detailing adds a charming focal element, giving the footwear a sophisticated yet playful appeal. The classic ballerina silhouette offers a timeless shape that pairs effortlessly with dresses, occasion wear, and stylish casual looks.
Inside, the smooth cushioned footbed provides gentle comfort for growing feet, while the soft inner lining ensures a pleasant wearing experience throughout the day. The flexible outsole with textured grip helps maintain stability during movement, making the flats suitable for both indoor and outdoor activities.
Thoughtfully designed for style and practicality, these Toothless ballerina flats for girls combine graceful aesthetics with functional comfort. Whether worn for celebrations, family gatherings, or everyday styling, they add a polished finishing touch to a young girl’s wardrobe.</t>
        </is>
      </c>
    </row>
    <row r="29">
      <c r="A29" s="42" t="n"/>
      <c r="B29" s="24" t="inlineStr">
        <is>
          <t>TUCNFA001230</t>
        </is>
      </c>
      <c r="C29" s="23" t="inlineStr">
        <is>
          <t>FOOTWEAR</t>
        </is>
      </c>
      <c r="D29" s="24" t="inlineStr">
        <is>
          <t>CASUAL SHOES</t>
        </is>
      </c>
      <c r="E29" s="23" t="inlineStr">
        <is>
          <t>KIDS-UNISEX</t>
        </is>
      </c>
      <c r="F29" s="23" t="inlineStr">
        <is>
          <t>BLACK</t>
        </is>
      </c>
      <c r="G29" s="33" t="inlineStr">
        <is>
          <t>TUCNFA001230-BLACK</t>
        </is>
      </c>
      <c r="H29" s="49" t="inlineStr">
        <is>
          <t xml:space="preserve">Toothless Kids Black High Top Canvas Casual Shoes with Classic Lace-Up Design, Reinforced Stitch Detailing &amp; Textured Grip Sole | Contemporary Kids Sneakers for Boys and Girls
</t>
        </is>
      </c>
      <c r="I29" s="48" t="inlineStr">
        <is>
          <t>Kids Black High Top Sneakers</t>
        </is>
      </c>
      <c r="J29" s="49" t="inlineStr">
        <is>
          <t>Kids Black High Top Canvas Sneakers with Lace-Up Design and Textured Grip Sole</t>
        </is>
      </c>
      <c r="K29" s="49">
        <f>IFERROR(__xludf.DUMMYFUNCTION("AI(""Fill an appropriate value for this cell based on the table context"")"),"Kids-Unisex High Top Canvas Sneakers in Black with Classic Lace-Up Design &amp; Textured Grip Sole")</f>
        <v/>
      </c>
      <c r="L29" s="49">
        <f>IFERROR(__xludf.DUMMYFUNCTION("AI(""Fill an appropriate value for this cell based on the table context"")"),"Toothless Kids Unisex Black High Top Canvas Casual Shoes with Classic Lace-Up Design and Textured Grip Sole")</f>
        <v/>
      </c>
      <c r="M29" s="51" t="inlineStr">
        <is>
          <t>SIGNATURE HIGH-TOP SNEAKER PROFILE: Toothless presents a refined high-top sneaker design that delivers a confident streetwear aesthetic while offering enhanced ankle coverage. The structured profile gives these kids shoes a distinctive, fashion-forward character.
PREMIUM CANVAS TEXTURE UPPER: The finely woven canvas upper delivers a clean matte texture with contrast stitch accents that elevate the overall visual appeal while maintaining a durable and breathable structure suitable for everyday wear.
PRECISION LACE-UP FIT SYSTEM: Engineered with a classic lace-up configuration and reinforced eyelets, these casual shoes allow a secure and adjustable fit that adapts comfortably to natural foot movement.
HIGH-TRACTION RUBBER OUTSOLE: The outsole features a patterned traction design that enhances grip and stability across different surfaces, supporting confident steps during active play and daily movement.
MODERN EVERYDAY SNEAKER AESTHETIC: Designed with a balanced blend of minimal design and sporty attitude, these Toothless casual shoes complement denim, joggers, and everyday outfits, making them a versatile staple for modern kids wardrobes.</t>
        </is>
      </c>
      <c r="N29" s="48" t="inlineStr">
        <is>
          <t>The Toothless Kids Black High Top Canvas Sneakers combine timeless sneaker styling with everyday functionality, making them a versatile addition to any young wardrobe. Designed with a classic high-top profile, these casual shoes offer a structured silhouette that delivers both style and support for active kids.
The durable canvas upper features clean contrast stitching that enhances the sneaker’s visual character while maintaining a lightweight feel suitable for everyday wear. A lace-up fastening system allows for an adjustable and secure fit, helping keep the shoes comfortably positioned during movement.
The outsole is crafted with a textured grip pattern that supports stability while walking or playing, providing dependable traction across different surfaces. Inside, the smooth interior lining ensures a comfortable feel for extended wear.
Designed for modern everyday styling, these kids shoes for boys and girls pair effortlessly with jeans, joggers, or casual outfits. Whether worn for school, outdoor activities, or weekend outings, these Toothless casual shoes for kids deliver a balance of durability, comfort, and timeless sneaker style.</t>
        </is>
      </c>
    </row>
    <row r="30">
      <c r="A30" s="42" t="n"/>
      <c r="B30" s="34" t="inlineStr">
        <is>
          <t>TUCNFA001565</t>
        </is>
      </c>
      <c r="C30" s="34" t="inlineStr">
        <is>
          <t>FOOTWEAR</t>
        </is>
      </c>
      <c r="D30" s="34" t="inlineStr">
        <is>
          <t>CASUAL SHOES</t>
        </is>
      </c>
      <c r="E30" s="34" t="inlineStr">
        <is>
          <t>KIDS-UNISEX</t>
        </is>
      </c>
      <c r="F30" s="34" t="inlineStr">
        <is>
          <t>PURPLE</t>
        </is>
      </c>
      <c r="G30" s="34" t="inlineStr">
        <is>
          <t>TUCNFA001565-PURPLE</t>
        </is>
      </c>
      <c r="H30" s="49" t="inlineStr">
        <is>
          <t xml:space="preserve">Toothless Kids Black High Top Canvas Casual Shoes with Classic Lace-Up Design, Reinforced Stitch Detailing &amp; Textured Grip Sole | Contemporary Kids Sneakers for Boys and Girls
</t>
        </is>
      </c>
      <c r="I30" s="35" t="inlineStr">
        <is>
          <t>Kids Purple Canvas Lace Shoes</t>
        </is>
      </c>
      <c r="J30" s="49" t="inlineStr">
        <is>
          <t>Kids Purple Canvas Casual Shoes with Classic Sneaker Profile &amp; Durable Outsole</t>
        </is>
      </c>
      <c r="K30" s="49">
        <f>IFERROR(__xludf.DUMMYFUNCTION("AI(""Fill an appropriate value for this cell based on the table context"")"),"Kids Purple Canvas Casual Shoes with Classic Lace-Up Design, Durable Rubber Sole &amp; Breathable Comfort Fit for Boys &amp; Girls")</f>
        <v/>
      </c>
      <c r="L30" s="49">
        <f>IFERROR(__xludf.DUMMYFUNCTION("AI(""Fill an appropriate value for this cell based on the table context"")"),"Toothless Kids Unisex Purple Canvas Casual Shoes with Classic Lace-Up Design and Durable Outsole")</f>
        <v/>
      </c>
      <c r="M30" s="51" t="inlineStr">
        <is>
          <t>REFINED CANVAS UPPER TEXTURE: Designed with a durable canvas upper, these Toothless casual shoes feature a clean woven texture with contrast stitch detailing that enhances visual depth while maintaining breathability and everyday wear durability.
CLASSIC LACE-UP SNEAKER PROFILE: The timeless lace-up configuration offers an adjustable and secure fit while delivering a classic sneaker-inspired aesthetic that blends effortlessly with modern kids casual wardrobes.
STRUCTURED FRONT PANEL DESIGN: A reinforced front panel with detailed stitching adds structure and shape retention, giving the footwear a refined silhouette while enhancing durability for active daily use.
TEXTURED RUBBER TRACTION SOLE: Engineered with a patterned rubber outsole, these casual shoes provide dependable grip and surface traction to support stable steps during play, walking, and everyday activities.
HEEL SUPPORT DETAIL: Finished with a distinctive rear pull tab accent and reinforced heel panel, these Toothless casual shoes offer added structure and easy handling while enhancing the overall sneaker-inspired design character.</t>
        </is>
      </c>
      <c r="N30" s="48" t="inlineStr">
        <is>
          <t>The Toothless Kids Canvas Casual Shoes combine timeless sneaker styling with everyday practicality, making them a versatile footwear choice for growing kids. Designed with a classic lace-up profile, these casual shoes deliver a clean, sporty look that complements a wide range of everyday outfits.
The durable canvas upper features a finely woven texture that enhances breathability while maintaining long-lasting wear. Contrast stitch detailing and reinforced panels add visual character while supporting the overall structure of the footwear. The lace-up fastening allows for an adjustable fit that helps keep the shoes comfortably secure during movement.
A sturdy rubber outsole with textured traction provides dependable grip across different surfaces, helping support stable and confident steps during play or daily activities. The smooth interior lining ensures comfortable wear throughout the day.
Thoughtfully designed for modern kids lifestyles, these Toothless casual shoes for kids pair effortlessly with denim, joggers, and casual outfits. Suitable for both boys and girls, these kids shoes offer a balanced combination of durability, comfort, and everyday style.</t>
        </is>
      </c>
    </row>
    <row r="31">
      <c r="A31" s="42" t="n"/>
      <c r="B31" s="34" t="inlineStr">
        <is>
          <t>PBPOHS002797</t>
        </is>
      </c>
      <c r="C31" s="34" t="inlineStr">
        <is>
          <t>APPAREL</t>
        </is>
      </c>
      <c r="D31" s="34" t="inlineStr">
        <is>
          <t>POLO T-SHIRT</t>
        </is>
      </c>
      <c r="E31" s="34" t="inlineStr">
        <is>
          <t>KIDS BOYS</t>
        </is>
      </c>
      <c r="F31" s="34" t="inlineStr">
        <is>
          <t>DK. GREEN</t>
        </is>
      </c>
      <c r="G31" s="34" t="inlineStr">
        <is>
          <t>PBPOHS002797-DK. GREEN</t>
        </is>
      </c>
      <c r="H31" s="49" t="inlineStr">
        <is>
          <t>Purple United Kids Boys Dark Green Polo T-Shirt with Contrast Tipped Collar, Button Placket &amp; Signature Chest Embroidery | Premium Kids T Shirt for Boys | Smart Casual Boys Tshirt</t>
        </is>
      </c>
      <c r="I31" s="48" t="inlineStr">
        <is>
          <t>Boys Dark Green Polo T-Shirt</t>
        </is>
      </c>
      <c r="J31" s="49" t="inlineStr">
        <is>
          <t>Boys Dark Green Polo T-Shirt with Contrast Tipped Collar &amp; Signature Chest Logo</t>
        </is>
      </c>
      <c r="K31" s="35">
        <f>IFERROR(__xludf.DUMMYFUNCTION("AI(""Fill an appropriate value for this cell based on the table context"")"),"Kids Boys Dark Green Polo T-Shirt with Contrast Tipped Collar and Signature Chest Embroidery")</f>
        <v/>
      </c>
      <c r="L31" s="49">
        <f>IFERROR(__xludf.DUMMYFUNCTION("AI(""Fill an appropriate value for this cell based on the table context"")"),"Purple United Kids Boys Dark Green Polo T-Shirt with Contrast Tipped Collar and Signature Chest Logo")</f>
        <v/>
      </c>
      <c r="M31" s="51" t="inlineStr">
        <is>
          <t>SIGNATURE POLO COLLAR DESIGN: Designed with a structured polo collar featuring contrast tipping, this Purple United boys polo t-shirt delivers a refined sporty aesthetic that blends classic polo styling with modern kids fashion appeal.
PREMIUM TEXTURED PIQUE FABRIC: Crafted with breathable pique knit fabric, this boys tshirt offers a soft textured surface that enhances airflow and comfort while maintaining a polished look suitable for everyday wear.
REFINED BUTTON PLACKET DETAIL: The classic two-button placket adds a timeless polo character while allowing easy wear and adjustable neckline comfort, giving this polo t shirt for boys a clean and structured appearance.
SIGNATURE CHEST EMBROIDERY: Finished with a minimal embroidered logo at the chest, this kids tshirt reflects Purple United’s premium design identity while adding a subtle brand-led style element.
SMART EVERYDAY CASUAL STYLE: This boys polo t-shirt pairs effortlessly with denim, chinos, shorts, and joggers, making it a versatile wardrobe essential suitable for outings, casual occasions, and everyday kids wear.</t>
        </is>
      </c>
      <c r="N31" s="48" t="inlineStr">
        <is>
          <t>The Purple United Kids Boys Dark Green Polo T-Shirt brings together classic polo styling with modern kids fashion, creating a refined everyday essential for young wardrobes. Designed with a structured polo collar featuring contrast tipping, this boys t shirt delivers a polished yet sporty look suitable for casual outings, school days, and everyday activities.
Crafted with breathable textured pique knit fabric, the polo t shirt ensures a comfortable wearing experience while maintaining a neat and structured appearance. The soft fabric texture allows ease of movement while helping the garment retain its shape through regular wear. A classic button placket enhances the timeless polo design while allowing easy wear and adjustable comfort.
The minimal embroidered chest emblem adds a subtle brand signature, reflecting Purple United’s refined design identity. Thoughtfully designed for versatility, this polo t shirt for boys pairs effortlessly with denim, shorts, chinos, and joggers, making it a dependable addition to everyday kids clothes and smart casual outfits.
Blending comfort, durability, and modern styling, this boys polo t-shirt offers a balanced mix of functionality and contemporary kids fashion.</t>
        </is>
      </c>
    </row>
    <row r="32">
      <c r="A32" s="42" t="n"/>
      <c r="B32" s="34" t="inlineStr">
        <is>
          <t>PBTSHS002791</t>
        </is>
      </c>
      <c r="C32" s="34" t="inlineStr">
        <is>
          <t>APPAREL</t>
        </is>
      </c>
      <c r="D32" s="34" t="inlineStr">
        <is>
          <t>T-SHIRT</t>
        </is>
      </c>
      <c r="E32" s="34" t="inlineStr">
        <is>
          <t>KIDS BOYS</t>
        </is>
      </c>
      <c r="F32" s="34" t="inlineStr">
        <is>
          <t>OFF-WHITE</t>
        </is>
      </c>
      <c r="G32" s="34" t="inlineStr">
        <is>
          <t>PBTSHS002791-OFF-WHITE</t>
        </is>
      </c>
      <c r="H32" s="49" t="inlineStr">
        <is>
          <t>Purple United Kids Boys Off White Graphic T-Shirt with Tennis Player Back Artwork, Minimal Chest Logo &amp; Soft Knit Comfort Fit | Kids Stylish T-shirt for Boys</t>
        </is>
      </c>
      <c r="I32" s="35" t="inlineStr">
        <is>
          <t>Boys Off White Graphic T Shirt</t>
        </is>
      </c>
      <c r="J32" s="49" t="inlineStr">
        <is>
          <t>Boys Off White Graphic T-Shirt with Statement Back Artwork</t>
        </is>
      </c>
      <c r="K32" s="49">
        <f>IFERROR(__xludf.DUMMYFUNCTION("AI(""Fill an appropriate value for this cell based on the table context"")"),"Kids Boys Off White Graphic T-Shirt with Tennis Player Back Artwork &amp; Soft Knit Comfort Design")</f>
        <v/>
      </c>
      <c r="L32" s="49">
        <f>IFERROR(__xludf.DUMMYFUNCTION("AI(""Fill an appropriate value for this cell based on the table context"")"),"Purple United Kids Boys Off White Graphic T-Shirt with Tennis Player Back Artwork for Everyday Wear")</f>
        <v/>
      </c>
      <c r="M32" s="51" t="inlineStr">
        <is>
          <t>STATEMENT BACK GRAPHIC DESIGN: Designed with a bold tennis-inspired player artwork at the back, this boys t shirt brings a sporty visual appeal that adds character and storytelling to everyday kids wear styling.
SIGNATURE MINIMAL CHEST DETAIL: A clean “Purple Champ” chest graphic adds a subtle brand element to the front, balancing the bold back design while maintaining a refined and premium kids fashion look.
BREATHABLE SOFT KNIT FABRIC: Crafted with breathable soft knit fabric that feels smooth against the skin, this kids tshirt ensures comfort during play, outdoor activities, and everyday movement.
RELAXED EVERYDAY FIT: The thoughtfully designed regular fit offers natural ease of movement, making this t shirt for boys suitable for school, outings, travel days, and active play.
SPORT-INSPIRED CASUAL STYLE: With its tennis themed design language, this boys tshirt pairs effortlessly with denim, joggers, or shorts, creating a sporty yet stylish outfit for modern kids wardrobes.</t>
        </is>
      </c>
      <c r="N32" s="48" t="inlineStr">
        <is>
          <t>The Purple United Kids Boys Off White Graphic T-Shirt blends playful storytelling with modern kids fashion to create a distinctive everyday essential. Designed with a bold tennis-inspired player artwork at the back and a minimal “Purple Champ” chest graphic at the front, this boys t shirt delivers a balanced mix of sporty character and clean contemporary styling.
Crafted using soft breathable knit fabric, the t shirt ensures comfortable wear during active play, school hours, and everyday outings. The smooth texture and lightweight feel help maintain comfort throughout the day while allowing easy movement for energetic kids.
The thoughtfully designed regular fit provides a relaxed silhouette that works well with denim jeans, joggers, and shorts, making it a versatile addition to kids clothes collections. The off-white base enhances the contrast of the vibrant artwork, creating a visually striking yet refined look.
Combining playful sports inspiration with Purple United’s premium design approach, this boys tshirt offers a stylish and comfortable wardrobe staple for modern kids.</t>
        </is>
      </c>
    </row>
    <row r="33">
      <c r="A33" s="42" t="n"/>
      <c r="B33" s="34" t="inlineStr">
        <is>
          <t>PGTSHS002782</t>
        </is>
      </c>
      <c r="C33" s="34" t="inlineStr">
        <is>
          <t>APPAREL</t>
        </is>
      </c>
      <c r="D33" s="34" t="inlineStr">
        <is>
          <t xml:space="preserve">TSHIRT </t>
        </is>
      </c>
      <c r="E33" s="34" t="inlineStr">
        <is>
          <t>KIDS GIRLS</t>
        </is>
      </c>
      <c r="F33" s="34" t="inlineStr">
        <is>
          <t>LIGHT PINK</t>
        </is>
      </c>
      <c r="G33" s="34" t="inlineStr">
        <is>
          <t>PGTSHS002782-LT. PINK</t>
        </is>
      </c>
      <c r="H33" s="49" t="inlineStr">
        <is>
          <t>Purple United Kids Girls Pink Studded “Dream” Typography T-Shirt with Short Puff Sleeves &amp; Soft Knit Comfort | Premium &amp; Stylish Kids Tshirt for Girls</t>
        </is>
      </c>
      <c r="I33" s="48" t="inlineStr">
        <is>
          <t>Kids Girls Pink Summer T-shirt</t>
        </is>
      </c>
      <c r="J33" s="49" t="inlineStr">
        <is>
          <t>Girls Light Pink Studded Dream Typography T-Shirt with Short Puff Sleeves</t>
        </is>
      </c>
      <c r="K33" s="49">
        <f>IFERROR(__xludf.DUMMYFUNCTION("AI(""Fill an appropriate value for this cell based on the table context"")"),"Kids Girls T-Shirt in Light Pink with Studded ""Dream"" Typography, Short Puff Sleeves &amp; Soft Knit Comfort Design")</f>
        <v/>
      </c>
      <c r="L33" s="49">
        <f>IFERROR(__xludf.DUMMYFUNCTION("AI(""Fill an appropriate value for this cell based on the table context"")"),"Purple United Kids Girls Light Pink Studded Dream Typography T-Shirt with Short Puff Sleeves")</f>
        <v/>
      </c>
      <c r="M33" s="51" t="inlineStr">
        <is>
          <t>CRYSTAL STUDDED TYPOGRAPHY DESIGN: Designed with elegant crystal-style stud embellishments forming the word “Dream”, this girls tshirt adds a refined sparkle effect that enhances the overall fashion appeal for stylish kids outfits.
SOFT PREMIUM KNIT FABRIC: Crafted from breathable soft knit fabric that feels gentle on the skin, this t shirt for girls ensures comfortable wear during daily activities, outings, and playful moments.
DELICATE PUFF SLEEVE DETAIL: The subtle puff sleeve styling adds a graceful silhouette to this girls t-shirt, giving it a feminine touch while keeping the look modern and easy to style.
EVERYDAY COMFORT FIT: Designed with a relaxed and comfortable fit that allows natural movement, making this kids t shirt suitable for school, playtime, travel, and everyday casual wear.
VERSATILE GIRLS FASHION ESSENTIAL: This stylish girls tshirt pairs beautifully with denim, skirts, shorts, and joggers, making it a versatile addition to kids clothes for girls and everyday summer outfits.</t>
        </is>
      </c>
      <c r="N33" s="48" t="inlineStr">
        <is>
          <t>The Purple United Kids Girls Light Pink “Dream” Studded T-Shirt blends playful elegance with modern kids fashion. Designed with delicate crystal-style studs forming the word “Dream”, the t-shirt adds a charming sparkle element that enhances its overall style while keeping the look refined and youthful.
Crafted from soft breathable knit fabric, this girls t shirt provides a smooth and comfortable feel for all-day wear. The lightweight fabric supports easy movement, making it suitable for everyday activities, school routines, and casual outings. Thoughtfully designed short puff sleeves bring a gentle feminine touch to the silhouette while maintaining a clean and modern appearance.
The soothing light pink tone complements the embellished typography beautifully, creating a stylish piece that stands out while remaining easy to pair with different outfits. This girls tshirt works effortlessly with denim jeans, skirts, shorts, or casual bottoms.
Combining comfort, elegance, and contemporary kids style, this Purple United girls t-shirt becomes a versatile wardrobe staple for young fashion lovers.</t>
        </is>
      </c>
    </row>
    <row r="34">
      <c r="A34" s="42" t="n"/>
      <c r="B34" s="34" t="inlineStr">
        <is>
          <t>PGTSHS002785</t>
        </is>
      </c>
      <c r="C34" s="34" t="inlineStr">
        <is>
          <t>APPAREL</t>
        </is>
      </c>
      <c r="D34" s="34" t="inlineStr">
        <is>
          <t xml:space="preserve">TSHIRT </t>
        </is>
      </c>
      <c r="E34" s="34" t="inlineStr">
        <is>
          <t>KIDS GIRLS</t>
        </is>
      </c>
      <c r="F34" s="24" t="inlineStr">
        <is>
          <t>DK. NAVY BLUE</t>
        </is>
      </c>
      <c r="G34" s="34" t="inlineStr">
        <is>
          <t>PGTSHS002785-DK. NAVY BLUE</t>
        </is>
      </c>
      <c r="H34" s="49" t="inlineStr">
        <is>
          <t>Purple United Kids Girls Navy Embellished Statement T-Shirt with Shine Typography Artwork, Soft Stretch Knit Fabric, Puff Sleeve Detail, Comfortable Everyday Fit Girls Top | Kids Summer Wear for Girls</t>
        </is>
      </c>
      <c r="I34" s="35" t="inlineStr">
        <is>
          <t>Girls Navy Statement T-shirt</t>
        </is>
      </c>
      <c r="J34" s="49" t="inlineStr">
        <is>
          <t>Girls Navy Embellished Summer T-Shirt with Puff Sleeves &amp; Shine Artwork</t>
        </is>
      </c>
      <c r="K34" s="49">
        <f>IFERROR(__xludf.DUMMYFUNCTION("AI(""Fill an appropriate value for this cell based on the table context"")"),"Kids Girls T-Shirt in Navy Blue with Embellished Typography, Puff Sleeves &amp; Soft Knit Comfort Design")</f>
        <v/>
      </c>
      <c r="L34" s="49">
        <f>IFERROR(__xludf.DUMMYFUNCTION("AI(""Fill an appropriate value for this cell based on the table context"")"),"Purple United Kids Girls Navy Embellished T-Shirt with Shine Typography &amp; Puff Sleeves for Everyday Wear")</f>
        <v/>
      </c>
      <c r="M34" s="51" t="inlineStr">
        <is>
          <t>PREMIUM SOFT KNIT FABRIC: Crafted with smooth breathable knit fabric, this girls t shirt offers lightweight comfort and flexibility for everyday movement, making it a dependable kids summer wear for girls and a refined everyday wardrobe essential.
EMBELLISHED TYPOGRAPHY ARTWORK: Designed with statement typography highlighted through metallic shine detailing and delicate embellishment accents, creating a visually expressive look that adds personality while maintaining a polished aesthetic for modern girls tops.
STYLISH PUFF SLEEVE DETAIL: Gently gathered puff sleeves introduce a subtle fashion element that elevates the classic t shirt silhouette, giving this tshirt for girls a distinctive style suitable for casual outings and everyday dressing.
COMFORTABLE EVERYDAY FIT: The thoughtfully balanced silhouette allows easy movement and a relaxed wearing experience, making this girls t shirt suitable for active routines while maintaining a clean, well-structured look throughout the day.
VERSATILE STYLING ESSENTIAL: This kids t shirt girls pairs effortlessly with denim, skirts, shorts, and casual bottoms, making it a versatile wardrobe staple designed for daily wear, school days, outings, and comfortable kids fashion styling.</t>
        </is>
      </c>
      <c r="N34" s="48" t="inlineStr">
        <is>
          <t>Purple United Kids presents a thoughtfully designed girls t shirt that blends expressive design with everyday comfort. Crafted in a rich navy tone, this tshirt for girls features a statement typography artwork highlighted with metallic shine and delicate embellishment detailing that creates a playful yet polished look for young wardrobes.
The soft knit fabric offers breathable comfort and smooth touch against the skin, making it an ideal kids summer wear for girls. Designed with gently gathered sleeves and a clean round neckline, this girls top brings subtle styling elements that elevate everyday dressing without compromising ease of movement.
The silhouette ensures a relaxed and comfortable fit suitable for school days, outings, and casual occasions. The statement artwork adds personality while the refined finish keeps the overall look neat and premium.
This kids t shirt girls pairs effortlessly with denim, skirts, shorts, and everyday bottoms, making it a versatile wardrobe essential. Combining design expression with everyday practicality, this Purple United Kids piece reflects modern kids fashion with comfort-first thinking.</t>
        </is>
      </c>
    </row>
    <row r="35">
      <c r="A35" s="42" t="n"/>
      <c r="B35" s="34" t="inlineStr">
        <is>
          <t>TBCABS003045</t>
        </is>
      </c>
      <c r="C35" s="34" t="inlineStr">
        <is>
          <t>FOOTWEAR</t>
        </is>
      </c>
      <c r="D35" s="34" t="inlineStr">
        <is>
          <t>CASUAL SHOES</t>
        </is>
      </c>
      <c r="E35" s="34" t="inlineStr">
        <is>
          <t>KIDS BOYS</t>
        </is>
      </c>
      <c r="F35" s="34" t="inlineStr">
        <is>
          <t>GREY</t>
        </is>
      </c>
      <c r="G35" s="34" t="inlineStr">
        <is>
          <t>TBCABS003045-GREY</t>
        </is>
      </c>
      <c r="H35" s="49" t="inlineStr">
        <is>
          <t>Toothless Boys Panel Casual Shoes with Lace Closure, Suede Finish Overlays, Cushioned Collar Support and Textured Gum Sole | Durable Kids Footwear for Boys | Everyday Sneaker Shoes</t>
        </is>
      </c>
      <c r="I35" s="48" t="inlineStr">
        <is>
          <t>Boys Grey Casual Lace Sneakers</t>
        </is>
      </c>
      <c r="J35" s="49" t="inlineStr">
        <is>
          <t>Boys Grey Casual Shoes with Lace Closure &amp; Multi Texture Upper Design</t>
        </is>
      </c>
      <c r="K35" s="49">
        <f>IFERROR(__xludf.DUMMYFUNCTION("AI(""Fill an appropriate value for this cell based on the table context"")"),"Toothless Boys Casual Shoes in Grey with Lace Closure, Suede Finish Overlays &amp; Textured Gum Sole")</f>
        <v/>
      </c>
      <c r="L35" s="49">
        <f>IFERROR(__xludf.DUMMYFUNCTION("AI(""Fill an appropriate value for this cell based on the table context"")"),"Toothless Boys Grey Casual Shoes with Multi Texture Panels and Lace Up Closure for Kids boys")</f>
        <v/>
      </c>
      <c r="M35" s="51" t="inlineStr">
        <is>
          <t>REFINED MULTI-TEXTURE UPPER DESIGN: Designed with a layered combination of smooth and suede-finish panels, these boys casual shoes create a modern textured look while enhancing durability, making them ideal everyday footwear for active kids.
SUPPORTIVE LACE-UP FIT: Classic lace closure allows adjustable fastening for a secure and stable fit. This design ensures better foot hold and support during school routines, outdoor play and daily movement.
CUSHIONED COLLAR &amp; INTERIOR COMFORT: Soft padded collar and inner lining provide comfortable ankle support while reducing friction. The interior structure allows kids to move naturally while maintaining comfort throughout extended wear.
FLEXIBLE GRIP OUTSOLE: The textured gum outsole is engineered to provide dependable traction and flexibility, helping young feet maintain stability across different surfaces during walking, running or playful activities.
VERSATILE EVERYDAY STYLING: The neutral tone and structured panel design make these boys sneakers easy to pair with denim, joggers, shorts or casual outfits, creating a smart everyday look for school or weekend outings.</t>
        </is>
      </c>
      <c r="N35" s="48" t="inlineStr">
        <is>
          <t>The Toothless by Purple United Kids introduces a thoughtfully designed pair of boys casual shoes that combine modern styling with everyday durability. Crafted with a layered panel upper in versatile tones, these kids shoes for boys showcase a refined mix of smooth and suede-finish textures that add depth and character to the overall design.
The structured silhouette is supported with a lace-up closure that offers a secure and adjustable fit, while the padded collar and interior lining provide added comfort for daily movement. The thoughtfully shaped profile allows natural flexibility, making these sneaker shoes ideal for active kids who need dependable footwear for everyday routines.
A textured gum outsole enhances grip and stability, helping support confident steps during play, school activities, or casual outings. The balanced design combines style and practicality, allowing these shoes for boys to pair effortlessly with denim, joggers, and casual outfits.
Designed with the modern kids wardrobe in mind, these kids footwear for boys reflect the signature Purple United Kids approach, blending contemporary design details with comfort-first functionality for dependable everyday sneakers.</t>
        </is>
      </c>
    </row>
    <row r="36">
      <c r="A36" s="42" t="n"/>
      <c r="B36" s="34" t="inlineStr">
        <is>
          <t>TBCABS003045</t>
        </is>
      </c>
      <c r="C36" s="34" t="inlineStr">
        <is>
          <t>FOOTWEAR</t>
        </is>
      </c>
      <c r="D36" s="34" t="inlineStr">
        <is>
          <t>CASUAL SHOES</t>
        </is>
      </c>
      <c r="E36" s="34" t="inlineStr">
        <is>
          <t>KIDS BOYS</t>
        </is>
      </c>
      <c r="F36" s="34" t="inlineStr">
        <is>
          <t>TAN</t>
        </is>
      </c>
      <c r="G36" s="34" t="inlineStr">
        <is>
          <t>TBCABS003045-TAN</t>
        </is>
      </c>
      <c r="H36" s="49" t="inlineStr">
        <is>
          <t>Toothless Boys Panel Casual Shoes with Lace Closure, Suede Finish Overlays, Cushioned Collar Support and Textured Gum Sole | Durable Kids Footwear for Boys | Everyday Sneaker Shoes</t>
        </is>
      </c>
      <c r="I36" s="48" t="inlineStr">
        <is>
          <t>Boys Tan Casual Lace Sneakers</t>
        </is>
      </c>
      <c r="J36" s="49" t="inlineStr">
        <is>
          <t>Boys Tan Casual Shoes with Lace Closure &amp; Multi Texture Upper Design</t>
        </is>
      </c>
      <c r="K36" s="49">
        <f>IFERROR(__xludf.DUMMYFUNCTION("AI(""Fill an appropriate value for this cell based on the table context"")"),"Toothless Kids Boys Tan Panel Casual Shoes with Lace Closure and Suede Finish Overlays")</f>
        <v/>
      </c>
      <c r="L36" s="49">
        <f>IFERROR(__xludf.DUMMYFUNCTION("AI(""Fill an appropriate value for this cell based on the table context"")"),"Purple United Kids Boys Tan Casual Shoes with Lace Closure and Multi Texture Design for Everyday Wear")</f>
        <v/>
      </c>
      <c r="M36" s="51" t="inlineStr">
        <is>
          <t>REFINED MULTI-TEXTURE UPPER DESIGN: Designed with a layered combination of smooth and suede-finish panels, these boys casual shoes create a modern textured look while enhancing durability, making them ideal everyday footwear for active kids.
SUPPORTIVE LACE-UP FIT: Classic lace closure allows adjustable fastening for a secure and stable fit. This design ensures better foot hold and support during school routines, outdoor play and daily movement.
CUSHIONED COLLAR &amp; INTERIOR COMFORT: Soft padded collar and inner lining provide comfortable ankle support while reducing friction. The interior structure allows kids to move naturally while maintaining comfort throughout extended wear.
FLEXIBLE GRIP OUTSOLE: The textured gum outsole is engineered to provide dependable traction and flexibility, helping young feet maintain stability across different surfaces during walking, running or playful activities.
VERSATILE EVERYDAY STYLING: The neutral tone and structured panel design make these boys sneakers easy to pair with denim, joggers, shorts or casual outfits, creating a smart everyday look for school or weekend outings.</t>
        </is>
      </c>
      <c r="N36" s="48" t="inlineStr">
        <is>
          <t>The Toothless by Purple United Kids introduces a thoughtfully designed pair of boys casual shoes that combine modern styling with everyday durability. Crafted with a layered panel upper in versatile tones, these kids shoes for boys showcase a refined mix of smooth and suede-finish textures that add depth and character to the overall design.
The structured silhouette is supported with a lace-up closure that offers a secure and adjustable fit, while the padded collar and interior lining provide added comfort for daily movement. The thoughtfully shaped profile allows natural flexibility, making these sneaker shoes ideal for active kids who need dependable footwear for everyday routines.
A textured gum outsole enhances grip and stability, helping support confident steps during play, school activities, or casual outings. The balanced design combines style and practicality, allowing these shoes for boys to pair effortlessly with denim, joggers, and casual outfits.
Designed with the modern kids wardrobe in mind, these kids footwear for boys reflect the signature Purple United Kids approach, blending contemporary design details with comfort-first functionality for dependable everyday sneakers.</t>
        </is>
      </c>
    </row>
    <row r="37">
      <c r="A37" s="42" t="n"/>
      <c r="B37" s="34" t="inlineStr">
        <is>
          <t>TGCAFS003046</t>
        </is>
      </c>
      <c r="C37" s="34" t="inlineStr">
        <is>
          <t>FOOTWEAR</t>
        </is>
      </c>
      <c r="D37" s="34" t="inlineStr">
        <is>
          <t>CASUAL SHOES</t>
        </is>
      </c>
      <c r="E37" s="34" t="inlineStr">
        <is>
          <t>KIDS GIRLS</t>
        </is>
      </c>
      <c r="F37" s="34" t="inlineStr">
        <is>
          <t>PINK</t>
        </is>
      </c>
      <c r="G37" s="34" t="inlineStr">
        <is>
          <t>TGCAFS003046-PINK</t>
        </is>
      </c>
      <c r="H37" s="49" t="inlineStr">
        <is>
          <t>Toothless Girls Casual Sneakers with Glitter Star Detail, Shimmer Finish Upper and Speckled Comfort Outsole | Stylish Kids Shoes for Girls | Trendy Girls Footwear for Everyday Wear</t>
        </is>
      </c>
      <c r="I37" s="48" t="inlineStr">
        <is>
          <t>Girls' Pink Casual Shoes</t>
        </is>
      </c>
      <c r="J37" s="49" t="inlineStr">
        <is>
          <t>Girls Pink Casual Shoes with Shimmer Upper &amp; Flexible Speckled Sole</t>
        </is>
      </c>
      <c r="K37" s="49">
        <f>IFERROR(__xludf.DUMMYFUNCTION("AI(""Fill an appropriate value for this cell based on the table context"")"),"Toothless Kids Girls Pink Casual Sneakers with Glitter Star Detail, Shimmer Finish &amp; Flexible Speckled Sole")</f>
        <v/>
      </c>
      <c r="L37" s="49">
        <f>IFERROR(__xludf.DUMMYFUNCTION("AI(""Fill an appropriate value for this cell based on the table context"")"),"Toothless Kids Girls Pink Shimmer Upper Casual Sneakers with Glitter Star Detail and Flexible Speckled Sole")</f>
        <v/>
      </c>
      <c r="M37" s="51" t="inlineStr">
        <is>
          <t>SHIMMER TEXTURED UPPER: Crafted with a subtle shimmer finish upper, these girls casual sneakers create a stylish statement while maintaining durability, making them ideal kids shoes for girls who love playful fashion.
GLITTER STAR DESIGN DETAIL: Decorative star accents with glitter texture add a charming visual element, giving these girls shoes a trendy look that complements modern kids outfits and everyday styling.
COMFORT-ORIENTED INTERIOR: Soft inner lining and padded collar help support natural movement and reduce friction, allowing these sneakers for girls to remain comfortable during school routines, outings and active play.
FLEXIBLE SPECKLED OUTSOLE: The semi-transparent speckled outsole offers flexibility and reliable grip, providing confident steps across different surfaces while enhancing the playful design of these kids footwear for girls.
VERSATILE CASUAL STYLING: The soft tone and decorative star details pair effortlessly with dresses, denim or casual outfits, making these shoes for kids girls perfect for everyday wear, outings and relaxed occasions.</t>
        </is>
      </c>
      <c r="N37" s="48" t="inlineStr">
        <is>
          <t>The Toothless by Purple United Kids presents a thoughtfully designed pair of casual sneakers created to blend playful design with dependable everyday comfort. The upper features a soft shimmer finish with delicate textured detailing that adds a refined visual appeal while maintaining durability for daily wear. Decorative accents and subtle perforation elements enhance breathability while giving the footwear a modern kidswear aesthetic.
A lace-up closure ensures a secure and adjustable fit, allowing growing feet to stay comfortably supported throughout the day. The padded collar and soft interior lining help reduce friction and provide gentle cushioning around the ankle, making these sneakers ideal for school routines, outings, and active play.
The flexible translucent outsole is designed with fine speckled detailing and a textured base that helps provide reliable grip and stability on different surfaces. Its lightweight structure supports natural movement while maintaining durability for everyday use.
With its stylish finish and versatile design, this pair of kids sneakers pairs effortlessly with dresses, denim, leggings, or casual outfits, making it a dependable choice for everyday kids footwear. Crafted with attention to comfort, durability, and playful detailing, it reflects the contemporary design language of Purple United Kids.</t>
        </is>
      </c>
    </row>
    <row r="38">
      <c r="A38" s="42" t="n"/>
      <c r="B38" s="34" t="inlineStr">
        <is>
          <t>TGCAFS003046</t>
        </is>
      </c>
      <c r="C38" s="34" t="inlineStr">
        <is>
          <t>FOOTWEAR</t>
        </is>
      </c>
      <c r="D38" s="34" t="inlineStr">
        <is>
          <t>CASUAL SHOES</t>
        </is>
      </c>
      <c r="E38" s="34" t="inlineStr">
        <is>
          <t>KIDS GIRLS</t>
        </is>
      </c>
      <c r="F38" s="34" t="inlineStr">
        <is>
          <t>SILVER</t>
        </is>
      </c>
      <c r="G38" s="34" t="inlineStr">
        <is>
          <t>TGCAFS003046-SILVER</t>
        </is>
      </c>
      <c r="H38" s="49" t="inlineStr">
        <is>
          <t>Toothless Girls Casual Sneakers with Glitter Star Detail, Shimmer Finish Upper and Speckled Comfort Outsole | Stylish Kids Shoes for Girls | Trendy Girls Footwear for Everyday Wear</t>
        </is>
      </c>
      <c r="I38" s="48" t="inlineStr">
        <is>
          <t>Girls' Silver Casual Shoes</t>
        </is>
      </c>
      <c r="J38" s="49" t="inlineStr">
        <is>
          <t>Girls Silver Casual Shoes with Shimmer Upper &amp; Flexible Speckled Sole</t>
        </is>
      </c>
      <c r="K38" s="49">
        <f>IFERROR(__xludf.DUMMYFUNCTION("AI(""Fill an appropriate value for this cell based on the table context"")"),"Kids Girls Casual Sneakers in Silver with Glitter Star Detail, Shimmer Finish &amp; Speckled Comfort Outsole")</f>
        <v/>
      </c>
      <c r="L38" s="49">
        <f>IFERROR(__xludf.DUMMYFUNCTION("AI(""Fill an appropriate value for this cell based on the table context"")"),"Toothless by Purple United Kids Girls Silver Casual Sneakers with Glitter Star Detail and Shimmer Finish for Everyday Wear")</f>
        <v/>
      </c>
      <c r="M38" s="51" t="inlineStr">
        <is>
          <t>SHIMMER TEXTURED UPPER: Crafted with a subtle shimmer finish upper, these girls casual sneakers create a stylish statement while maintaining durability, making them ideal kids shoes for girls who love playful fashion.
GLITTER STAR DESIGN DETAIL: Decorative star accents with glitter texture add a charming visual element, giving these girls shoes a trendy look that complements modern kids outfits and everyday styling.
COMFORT-ORIENTED INTERIOR: Soft inner lining and padded collar help support natural movement and reduce friction, allowing these sneakers for girls to remain comfortable during school routines, outings and active play.
FLEXIBLE SPECKLED OUTSOLE: The semi-transparent speckled outsole offers flexibility and reliable grip, providing confident steps across different surfaces while enhancing the playful design of these kids footwear for girls.
VERSATILE CASUAL STYLING: The soft tone and decorative star details pair effortlessly with dresses, denim or casual outfits, making these shoes for kids girls perfect for everyday wear, outings and relaxed occasions.</t>
        </is>
      </c>
      <c r="N38" s="48" t="inlineStr">
        <is>
          <t>The Toothless by Purple United Kids presents a thoughtfully designed pair of casual sneakers created to blend playful design with dependable everyday comfort. The upper features a soft shimmer finish with delicate textured detailing that adds a refined visual appeal while maintaining durability for daily wear. Decorative accents and subtle perforation elements enhance breathability while giving the footwear a modern kidswear aesthetic.
A lace-up closure ensures a secure and adjustable fit, allowing growing feet to stay comfortably supported throughout the day. The padded collar and soft interior lining help reduce friction and provide gentle cushioning around the ankle, making these sneakers ideal for school routines, outings, and active play.
The flexible translucent outsole is designed with fine speckled detailing and a textured base that helps provide reliable grip and stability on different surfaces. Its lightweight structure supports natural movement while maintaining durability for everyday use.
With its stylish finish and versatile design, this pair of kids sneakers pairs effortlessly with dresses, denim, leggings, or casual outfits, making it a dependable choice for everyday kids footwear. Crafted with attention to comfort, durability, and playful detailing, it reflects the contemporary design language of Purple United Kids.</t>
        </is>
      </c>
    </row>
    <row r="39">
      <c r="A39" s="42" t="n"/>
      <c r="B39" s="34" t="inlineStr">
        <is>
          <t>TUCABS003047</t>
        </is>
      </c>
      <c r="C39" s="34" t="inlineStr">
        <is>
          <t>FOOTWEAR</t>
        </is>
      </c>
      <c r="D39" s="34" t="inlineStr">
        <is>
          <t>CASUAL SHOES</t>
        </is>
      </c>
      <c r="E39" s="34" t="inlineStr">
        <is>
          <t>KIDS-UNISEX</t>
        </is>
      </c>
      <c r="F39" s="34" t="inlineStr">
        <is>
          <t>WHITE</t>
        </is>
      </c>
      <c r="G39" s="34" t="inlineStr">
        <is>
          <t>TUCABS003047-WHITE</t>
        </is>
      </c>
      <c r="H39" s="49" t="inlineStr">
        <is>
          <t>Toothless Classic White Casual Shoes with Perforated Breathable Upper, Lace-Up Secure Fit, Cushioned Collar Support &amp; Textured Anti-Slip Rubber Outsole for Everyday Boys &amp; Girls Wear</t>
        </is>
      </c>
      <c r="I39" s="35" t="inlineStr">
        <is>
          <t>Classic White Casual Shoes</t>
        </is>
      </c>
      <c r="J39" s="49" t="inlineStr">
        <is>
          <t>Boys &amp; Girls Classic White Casual Shoes with Perforated Upper &amp; Cushioned Comfort Fit</t>
        </is>
      </c>
      <c r="K39" s="49">
        <f>IFERROR(__xludf.DUMMYFUNCTION("AI(""Fill an appropriate value for this cell based on the table context"")"),"Kids Unisex Casual Shoes in White with Perforated Upper, Lace-Up Fit &amp; Cushioned Comfort Design")</f>
        <v/>
      </c>
      <c r="L39" s="49">
        <f>IFERROR(__xludf.DUMMYFUNCTION("AI(""Fill an appropriate value for this cell based on the table context"")"),"Toothless Kids Unisex White Perforated Casual Shoes with Lace-Up Secure Fit and Cushioned Collar Support")</f>
        <v/>
      </c>
      <c r="M39" s="51" t="inlineStr">
        <is>
          <t>PREMIUM PERFORATED UPPER DESIGN: Thoughtfully designed perforated upper enhances airflow while maintaining a refined minimal aesthetic. The smooth structured finish gives the footwear a clean contemporary look suitable for school, outings and everyday wear.
SECURE LACE-UP FIT SYSTEM: Classic lace-up closure ensures an adjustable and secure fit for growing kids. The design provides dependable foot hold while supporting natural movement during daily activities and extended wear.
PADDED COLLAR COMFORT SUPPORT: Soft cushioned collar and inner lining provide gentle ankle support while reducing friction. This thoughtful detailing helps maintain comfort throughout long hours of walking, playtime and daily routines.
TEXTURED RUBBER OUTSOLE GRIP: Durable rubber outsole with fine textured pattern improves surface grip and walking stability. The flexible base allows comfortable movement while offering dependable traction on multiple surfaces.
VERSATILE EVERYDAY STYLING: Clean minimal sneaker silhouette pairs easily with denim, joggers, shorts and casual outfits. Designed as an everyday footwear essential that blends contemporary kids fashion with dependable functionality.</t>
        </is>
      </c>
      <c r="N39" s="48" t="inlineStr">
        <is>
          <t>The Toothless by Purple United Kids presents a refined everyday footwear essential designed to combine modern kids fashion with dependable comfort. These unisex casual shoes feature a clean minimal profile with a structured perforated upper that enhances breathability while maintaining a sleek and contemporary appearance. The smooth finish and subtle detailing create a versatile design that easily complements everyday outfits.
A classic lace-up closure system ensures a secure and adjustable fit, allowing growing kids to move comfortably throughout their day. The padded collar and soft inner lining help provide gentle cushioning around the ankle, reducing friction and enhancing overall comfort during extended wear.
The durable rubber outsole features a textured grip pattern that supports stability and confident movement across different surfaces. Its flexible structure allows natural foot movement while maintaining durability for regular use.
Thoughtfully designed for both comfort and style, these casual sneakers pair effortlessly with denim, joggers, shorts or casual school outfits. With its clean design language and practical everyday functionality, this pair reflects the contemporary quality and design approach of Purple United Kids footwear.</t>
        </is>
      </c>
    </row>
    <row r="40">
      <c r="A40" s="42" t="n"/>
      <c r="B40" s="34" t="inlineStr">
        <is>
          <t>TGBABS002271</t>
        </is>
      </c>
      <c r="C40" s="34" t="inlineStr">
        <is>
          <t>FOOTWEAR</t>
        </is>
      </c>
      <c r="D40" s="34" t="inlineStr">
        <is>
          <t>BALLERINAS</t>
        </is>
      </c>
      <c r="E40" s="34" t="inlineStr">
        <is>
          <t>KIDS GIRLS</t>
        </is>
      </c>
      <c r="F40" s="34" t="inlineStr">
        <is>
          <t>BLUE</t>
        </is>
      </c>
      <c r="G40" s="34" t="inlineStr">
        <is>
          <t>TGBABS002271-BLUE</t>
        </is>
      </c>
      <c r="H40" s="49" t="inlineStr">
        <is>
          <t>Toothless Kids Girls Metallic Texture Bow Ballerina Flats with Sculpted Ballet Profile, Cushioned Insole &amp; Flexible Grip Outsole | Kids Footwear for Girls, Stylish Ballet Flats &amp; Bellies</t>
        </is>
      </c>
      <c r="I40" s="48" t="inlineStr">
        <is>
          <t>Girls Textured Bow Ballerinas</t>
        </is>
      </c>
      <c r="J40" s="49" t="inlineStr">
        <is>
          <t>Kids Girls Blue Textured Ballerina Flats with Bow Detail &amp; Flexible TPR Comfort Sole</t>
        </is>
      </c>
      <c r="K40" s="49">
        <f>IFERROR(__xludf.DUMMYFUNCTION("AI(""Fill an appropriate value for this cell based on the table context"")"),"Toothless Kids Girls Blue Textured Ballerina Flats with Bow Detail &amp; Flexible TPR Comfort Sole")</f>
        <v/>
      </c>
      <c r="L40" s="49">
        <f>IFERROR(__xludf.DUMMYFUNCTION("AI(""Fill an appropriate value for this cell based on the table context"")"),"Toothless Kids Girls Blue Textured Ballerina Flats with Bow Detail &amp; Flexible TPR Comfort Sole")</f>
        <v/>
      </c>
      <c r="M40" s="51" t="inlineStr">
        <is>
          <t>SIGNATURE TEXTURED METALLIC FINISH: Designed with a distinctive brushed metallic texture that creates a subtle play of light across the surface. The artistic finish gives these ballerinas a fashion-forward identity that stands out from ordinary kids flats.
BALLET-INSPIRED SILHOUETTE: The graceful low-cut ballerina profile follows the natural shape of the foot, creating a refined ballet-inspired look that feels elegant while remaining practical for everyday girls footwear styling.
CHARMING FRONT BOW ACCENT: A delicate bow detail enhances the design with a playful yet sophisticated touch. This subtle feature adds personality to the footwear while keeping the overall look graceful and timeless.
PREMIUM MATERIAL COMPOSITION: Crafted with a durable synthetic upper that offers a refined textured appearance while remaining easy to maintain. The TPR outsole provides flexibility, reliable grip, and dependable support for everyday movement.
VERSATILE GIRLS FASHION FOOTWEAR: Perfectly suited for dresses, skirts, denim, and festive outfits, these ballerina flats bring a stylish finishing touch to everyday kids fashion while remaining comfortable for outings, celebrations, and daily wear.</t>
        </is>
      </c>
      <c r="N40" s="48" t="inlineStr">
        <is>
          <t>Toothless by Purple United introduces a beautifully crafted pair of girls ballerina flats designed to bring together artistic texture and timeless elegance. The upper features a distinctive metallic brushed finish that creates a subtle interplay of light and texture, giving the footwear a refined yet playful personality. Unlike ordinary kids flats, this design adds a fashion-led character that elevates everyday outfits.
The classic ballerina silhouette is carefully shaped to maintain a graceful and feminine profile, allowing the shoe to sit naturally on the foot. A delicate bow accent placed at the front adds a charming finishing detail that enhances the overall design while preserving its minimal aesthetic.
Inside, the cushioned footbed and smooth lining help provide gentle support for growing feet, allowing children to move comfortably through school days, outings, and special occasions. The flexible outsole is designed to adapt to natural movement while maintaining dependable ground grip.
Elegant yet practical, these ballerina flats pair beautifully with dresses, skirts, denim, and festive outfits. Thoughtfully designed with attention to both style and comfort, they reflect the modern design language of Toothless by Purple United, where kids footwear meets expressive fashion.</t>
        </is>
      </c>
    </row>
    <row r="41">
      <c r="A41" s="42" t="n"/>
      <c r="B41" s="34" t="inlineStr">
        <is>
          <t>TGBABS002271</t>
        </is>
      </c>
      <c r="C41" s="34" t="inlineStr">
        <is>
          <t>FOOTWEAR</t>
        </is>
      </c>
      <c r="D41" s="34" t="inlineStr">
        <is>
          <t>BALLERINAS</t>
        </is>
      </c>
      <c r="E41" s="34" t="inlineStr">
        <is>
          <t>KIDS GIRLS</t>
        </is>
      </c>
      <c r="F41" s="34" t="inlineStr">
        <is>
          <t>OFF WHITE</t>
        </is>
      </c>
      <c r="G41" s="33" t="inlineStr">
        <is>
          <t>TGBABS002271-OFF WHITE</t>
        </is>
      </c>
      <c r="H41" s="49" t="inlineStr">
        <is>
          <t>Toothless Kids Girls Metallic Texture Bow Ballerina Flats with Sculpted Ballet Profile, Cushioned Insole &amp; Flexible Grip Outsole | Kids Footwear for Girls | Stylish Ballet Flats &amp; Bellies</t>
        </is>
      </c>
      <c r="I41" s="48" t="inlineStr">
        <is>
          <t>Girls Textured Bow Ballerinas</t>
        </is>
      </c>
      <c r="J41" s="49" t="inlineStr">
        <is>
          <t>Kids Girls Off White Textured Ballerina Flats with Bow Detail &amp; Flexible TPR Comfort Sole</t>
        </is>
      </c>
      <c r="K41" s="49">
        <f>IFERROR(__xludf.DUMMYFUNCTION("AI(""Fill an appropriate value for this cell based on the table context"")"),"Kids Girls Ballerina Flats in Off White with Metallic Texture, Bow Detail &amp; Cushioned Comfort Sole")</f>
        <v/>
      </c>
      <c r="L41" s="49">
        <f>IFERROR(__xludf.DUMMYFUNCTION("AI(""Fill an appropriate value for this cell based on the table context"")"),"Toothless Kids Girls Off White Textured Ballerina Flats with Bow Detail &amp; Flexible TPR Comfort Sole")</f>
        <v/>
      </c>
      <c r="M41" s="51" t="inlineStr">
        <is>
          <t>SIGNATURE TEXTURED METALLIC FINISH: Designed with a distinctive brushed metallic texture that creates a subtle play of light across the surface. The artistic finish gives these ballerinas a fashion-forward identity that stands out from ordinary kids flats.
BALLET-INSPIRED SILHOUETTE: The graceful low-cut ballerina profile follows the natural shape of the foot, creating a refined ballet-inspired look that feels elegant while remaining practical for everyday girls footwear styling.
CHARMING FRONT BOW ACCENT: A delicate bow detail enhances the design with a playful yet sophisticated touch. This subtle feature adds personality to the footwear while keeping the overall look graceful and timeless.
PREMIUM MATERIAL COMPOSITION: Crafted with a durable synthetic upper that offers a refined textured appearance while remaining easy to maintain. The TPR outsole provides flexibility, reliable grip, and dependable support for everyday movement.
VERSATILE GIRLS FASHION FOOTWEAR: Perfectly suited for dresses, skirts, denim, and festive outfits, these ballerina flats bring a stylish finishing touch to everyday kids fashion while remaining comfortable for outings, celebrations, and daily wear.</t>
        </is>
      </c>
      <c r="N41" s="48" t="inlineStr">
        <is>
          <t>Toothless by Purple United introduces a beautifully crafted pair of girls ballerina flats designed to bring together artistic texture and timeless elegance. The upper features a distinctive metallic brushed finish that creates a subtle interplay of light and texture, giving the footwear a refined yet playful personality. Unlike ordinary kids flats, this design adds a fashion-led character that elevates everyday outfits.
The classic ballerina silhouette is carefully shaped to maintain a graceful and feminine profile, allowing the shoe to sit naturally on the foot. A delicate bow accent placed at the front adds a charming finishing detail that enhances the overall design while preserving its minimal aesthetic.
Inside, the cushioned footbed and smooth lining help provide gentle support for growing feet, allowing children to move comfortably through school days, outings, and special occasions. The flexible outsole is designed to adapt to natural movement while maintaining dependable ground grip.
Elegant yet practical, these ballerina flats pair beautifully with dresses, skirts, denim, and festive outfits. Thoughtfully designed with attention to both style and comfort, they reflect the modern design language of Toothless by Purple United, where kids footwear meets expressive fashion.</t>
        </is>
      </c>
    </row>
    <row r="42">
      <c r="A42" s="42" t="n"/>
      <c r="B42" s="34" t="inlineStr">
        <is>
          <t>PGDNJA001624</t>
        </is>
      </c>
      <c r="C42" s="34" t="inlineStr">
        <is>
          <t>APPAREL</t>
        </is>
      </c>
      <c r="D42" s="34" t="inlineStr">
        <is>
          <t>DENIM</t>
        </is>
      </c>
      <c r="E42" s="34" t="inlineStr">
        <is>
          <t>KIDS GIRLS</t>
        </is>
      </c>
      <c r="F42" s="34" t="inlineStr">
        <is>
          <t>MID BLUE</t>
        </is>
      </c>
      <c r="G42" s="34" t="inlineStr">
        <is>
          <t>PGDNJA001624-MID BLUE</t>
        </is>
      </c>
      <c r="H42" s="49" t="inlineStr">
        <is>
          <t>Purple United Kids Girls Mid Blue Wide Leg Denim Jeans with High Waist, Button Closure &amp; Functional Pockets | Girls Baggy Jeans | Wide Leg Jeans for Kids Girls</t>
        </is>
      </c>
      <c r="I42" s="48" t="inlineStr">
        <is>
          <t>Girls Mid Blue Wide Leg Jeans</t>
        </is>
      </c>
      <c r="J42" s="49" t="inlineStr">
        <is>
          <t>Kids Girls Mid Blue Wide Leg Denim Jeans with High Waist &amp; Summer Relaxed Baggy Fit</t>
        </is>
      </c>
      <c r="K42" s="49">
        <f>IFERROR(__xludf.DUMMYFUNCTION("AI(""Fill an appropriate value for this cell based on the table context"")"),"Kids Girls Mid Blue Wide Leg Denim Jeans with High Waist and Relaxed Baggy Fit")</f>
        <v/>
      </c>
      <c r="L42" s="49">
        <f>IFERROR(__xludf.DUMMYFUNCTION("AI(""Fill an appropriate value for this cell based on the table context"")"),"Purple United Kids Girls Denim Mid Blue Wide Leg Baggy Jeans with High Waist for Everyday Wear")</f>
        <v/>
      </c>
      <c r="M42" s="51" t="inlineStr">
        <is>
          <t>HIGH-WAIST WAISTBAND STRUCTURE: Designed with a defined high-rise waistband that sits comfortably above the waist, offering a balanced fit while maintaining a clean denim profile suitable for everyday wear and casual styling.
WIDE-LEG DENIM PROFILE: The wide-leg cut creates a relaxed vertical fall from waist to hem, giving these jeans a contemporary silhouette while allowing unrestricted movement for active kids throughout the day.
MID-BLUE DENIM TEXTURE: Features a versatile mid-blue denim finish that pairs easily with a wide range of tops, making these jeans adaptable for casual outfits, weekend wear, and everyday styling.
FUNCTIONAL POCKET DESIGN: Equipped with practical pockets that combine utility with classic denim detailing, allowing kids to carry small essentials while maintaining a neat structured look.
RELAXED EVERYDAY WEARABILITY: The overall design focuses on easy movement and day-long wear, making these girls jeans suitable for school days, outings, and casual activities while maintaining a clean modern denim appearance.</t>
        </is>
      </c>
      <c r="N42" s="48" t="inlineStr">
        <is>
          <t>Purple United Kids introduces a contemporary denim essential designed for girls who love expressive fashion with everyday comfort. These mid blue wide-leg jeans combine a relaxed baggy silhouette with a structured high-waist design, creating a stylish yet effortless denim profile.
The modern wide-leg shape adds fluid movement and gives the jeans a distinctive fashion identity inspired by current global kidswear trends. The mid blue denim wash offers timeless versatility, making it easy to style across different outfits and occasions.
The high-waist construction enhances the overall fit while providing comfortable support around the waist. Its relaxed leg design allows natural movement, making these jeans ideal for active days while still maintaining a polished appearance.
Designed to work seamlessly with t-shirts, crop tops, shirts, or hoodies, these girls jeans effortlessly elevate everyday styling. Whether worn for casual outings, school events, or weekend looks, this piece reflects Purple United’s modern approach to premium kids denim.
Combining trend-driven design with practical comfort, these wide-leg jeans bring a fresh and confident style statement to girls fashion wardrobes.</t>
        </is>
      </c>
    </row>
    <row r="43">
      <c r="A43" s="42" t="n"/>
      <c r="B43" s="34" t="inlineStr">
        <is>
          <t>PGCSCS002290</t>
        </is>
      </c>
      <c r="C43" s="34" t="inlineStr">
        <is>
          <t>APPAREL</t>
        </is>
      </c>
      <c r="D43" s="34" t="inlineStr">
        <is>
          <t>CLOTHING SET</t>
        </is>
      </c>
      <c r="E43" s="34" t="inlineStr">
        <is>
          <t>KIDS GIRLS</t>
        </is>
      </c>
      <c r="F43" s="34" t="inlineStr">
        <is>
          <t>LT. PINK</t>
        </is>
      </c>
      <c r="G43" s="34" t="inlineStr">
        <is>
          <t>PGCSCS002290-LT. PINK</t>
        </is>
      </c>
      <c r="H43" s="49" t="inlineStr">
        <is>
          <t>Purple United Kids Girls Cotton Clothing Set with Short Sleeve T-Shirt and Stretch Waist Leggings | Summer Baby Girl Outfit | Baby Girl Co-Ord Set | Newborn Baby Clothes</t>
        </is>
      </c>
      <c r="I43" s="48" t="inlineStr">
        <is>
          <t>Baby Girls Pink Clothing Set</t>
        </is>
      </c>
      <c r="J43" s="49" t="inlineStr">
        <is>
          <t>Kids Girls Light Pink Cotton Co-Ord Clothing Set with Soft Tshirt &amp; Elastic Waist Bottoms</t>
        </is>
      </c>
      <c r="K43" s="49">
        <f>IFERROR(__xludf.DUMMYFUNCTION("AI(""Fill an appropriate value for this cell based on the table context"")"),"Kids Girls Clothing Set in Light Pink with Cotton T-Shirt and Stretch Waist Leggings")</f>
        <v/>
      </c>
      <c r="L43" s="49">
        <f>IFERROR(__xludf.DUMMYFUNCTION("AI(""Fill an appropriate value for this cell based on the table context"")"),"Purple United Kids Girls Cotton Pink T-Shirt and Leggings Clothing Set with Elasticated Waist for Summer Wear")</f>
        <v/>
      </c>
      <c r="M43" s="51" t="inlineStr">
        <is>
          <t>GENTLE COTTON FABRIC FOR INFANT COMFORT: Crafted in soft breathable cotton that feels smooth on delicate infant skin. The fabric helps maintain comfort throughout the day, making the outfit suitable for daily wear and warm weather conditions.
COORDINATED TWO-PIECE OUTFIT DESIGN: Includes a thoughtfully paired t-shirt and leggings set that creates a complete infant outfit. The coordinated design ensures easy styling while keeping the overall look neat and balanced.
PLAY-FRIENDLY FLEXIBLE FIT: Designed to support natural infant movement, allowing babies to crawl, stretch, and explore comfortably without feeling restricted during daily activities.
ELASTICATED WAIST FOR EASY WEAR: The leggings feature a soft stretch waistband that provides a secure yet comfortable fit, making dressing and changing quick and convenient for parents.
VERSATILE INFANT WARDROBE ESSENTIAL: Suitable for everyday home wear, relaxed outings, or nap time, this clothing set offers a practical combination of comfort and coordinated baby styling.</t>
        </is>
      </c>
      <c r="N43" s="48" t="inlineStr">
        <is>
          <t>Purple United Kids presents a thoughtfully designed infant girls clothing set created to bring together comfort, softness, and everyday practicality. This coordinated baby outfit includes a cotton t-shirt and matching leggings, forming an easy-to-wear baby clothing set suitable for daily infant wear.
Crafted using soft breathable cotton fabric, the outfit is gentle on delicate baby skin while allowing airflow during warm weather. The lightweight material helps maintain comfort throughout the day, making it suitable for indoor wear, nap time, and everyday baby activities.
The matching leggings feature a flexible elasticated waistband that adapts comfortably to infant movement, ensuring babies can crawl, stretch, and play freely without restriction. The coordinated design makes dressing effortless while keeping the overall look neat and balanced.
This baby girl clothing set is suitable for everyday baby wardrobes and also works well as a thoughtful newborn gift. Whether used as casual homewear, nightwear, or summer baby clothing, the outfit combines practicality with a clean modern design that reflects Purple United’s approach to infant fashion.</t>
        </is>
      </c>
    </row>
    <row r="44">
      <c r="A44" s="42" t="n"/>
      <c r="B44" s="34" t="inlineStr">
        <is>
          <t>PGCSCS002290</t>
        </is>
      </c>
      <c r="C44" s="34" t="inlineStr">
        <is>
          <t>APPAREL</t>
        </is>
      </c>
      <c r="D44" s="34" t="inlineStr">
        <is>
          <t>CLOTHING SET</t>
        </is>
      </c>
      <c r="E44" s="34" t="inlineStr">
        <is>
          <t>KIDS GIRLS</t>
        </is>
      </c>
      <c r="F44" s="34" t="inlineStr">
        <is>
          <t>LT. GREEN</t>
        </is>
      </c>
      <c r="G44" s="34" t="inlineStr">
        <is>
          <t>PGCSCS002290-LT. GREEN</t>
        </is>
      </c>
      <c r="H44" s="49" t="inlineStr">
        <is>
          <t>Purple United Kids Girls Cotton Clothing Set with Short Sleeve T-Shirt and Stretch Waist Leggings | Summer Baby Girl Outfit | Baby Girl Co-Ord Set | Newborn Baby Clothes</t>
        </is>
      </c>
      <c r="I44" s="48" t="inlineStr">
        <is>
          <t>Baby Girls Green Clothing Set</t>
        </is>
      </c>
      <c r="J44" s="49" t="inlineStr">
        <is>
          <t>Kids Girls Light Green Cotton Co-Ord Clothing Set with Soft Tshirt &amp; Elastic Waist Bottoms</t>
        </is>
      </c>
      <c r="K44" s="49">
        <f>IFERROR(__xludf.DUMMYFUNCTION("AI(""Fill an appropriate value for this cell based on the table context"")"),"Kids Girls Cotton Clothing Set in Light Green with Soft T-Shirt &amp; Elasticated Waist Leggings")</f>
        <v/>
      </c>
      <c r="L44" s="49">
        <f>IFERROR(__xludf.DUMMYFUNCTION("AI(""Fill an appropriate value for this cell based on the table context"")"),"Purple United Kids Girls Light Green Cotton T-Shirt and Leggings Clothing Set for Everyday Wear")</f>
        <v/>
      </c>
      <c r="M44" s="51" t="inlineStr">
        <is>
          <t>GENTLE COTTON FABRIC FOR INFANT COMFORT: Crafted in soft breathable cotton that feels smooth on delicate infant skin. The fabric helps maintain comfort throughout the day, making the outfit suitable for daily wear and warm weather conditions.
COORDINATED TWO-PIECE OUTFIT DESIGN: Includes a thoughtfully paired t-shirt and leggings set that creates a complete infant outfit. The coordinated design ensures easy styling while keeping the overall look neat and balanced.
PLAY-FRIENDLY FLEXIBLE FIT: Designed to support natural infant movement, allowing babies to crawl, stretch, and explore comfortably without feeling restricted during daily activities.
ELASTICATED WAIST FOR EASY WEAR: The leggings feature a soft stretch waistband that provides a secure yet comfortable fit, making dressing and changing quick and convenient for parents.
VERSATILE INFANT WARDROBE ESSENTIAL: Suitable for everyday home wear, relaxed outings, or nap time, this clothing set offers a practical combination of comfort and coordinated baby styling.</t>
        </is>
      </c>
      <c r="N44" s="48" t="inlineStr">
        <is>
          <t>Purple United Kids presents a thoughtfully designed infant girls clothing set created to bring together comfort, softness, and everyday practicality. This coordinated baby outfit includes a cotton t-shirt and matching leggings, forming an easy-to-wear baby clothing set suitable for daily infant wear.
Crafted using soft breathable cotton fabric, the outfit is gentle on delicate baby skin while allowing airflow during warm weather. The lightweight material helps maintain comfort throughout the day, making it suitable for indoor wear, nap time, and everyday baby activities.
The matching leggings feature a flexible elasticated waistband that adapts comfortably to infant movement, ensuring babies can crawl, stretch, and play freely without restriction. The coordinated design makes dressing effortless while keeping the overall look neat and balanced.
This baby girl clothing set is suitable for everyday baby wardrobes and also works well as a thoughtful newborn gift. Whether used as casual homewear, nightwear, or summer baby clothing, the outfit combines practicality with a clean modern design that reflects Purple United’s approach to infant fashion.</t>
        </is>
      </c>
    </row>
    <row r="45">
      <c r="A45" s="42" t="n"/>
      <c r="B45" s="34" t="inlineStr">
        <is>
          <t>PGDUHS002991</t>
        </is>
      </c>
      <c r="C45" s="34" t="inlineStr">
        <is>
          <t>APPAREL</t>
        </is>
      </c>
      <c r="D45" s="34" t="inlineStr">
        <is>
          <t>DUNGAREE</t>
        </is>
      </c>
      <c r="E45" s="34" t="inlineStr">
        <is>
          <t>KIDS GIRLS</t>
        </is>
      </c>
      <c r="F45" s="34" t="inlineStr">
        <is>
          <t>WHITE / GREEN</t>
        </is>
      </c>
      <c r="G45" s="34" t="inlineStr">
        <is>
          <t>PGDUHS002991-WHITE / GREEN</t>
        </is>
      </c>
      <c r="H45" s="49" t="inlineStr">
        <is>
          <t>Purple United Kids Girls Green Check Dungaree Dress with Puff Sleeve Poplin Top, Adjustable Straps &amp; Y/D Cotton Fabric | Infant Baby Girl Outfit | Kids Dress for Girls</t>
        </is>
      </c>
      <c r="I45" s="48" t="inlineStr">
        <is>
          <t>Baby Girls Check Dungaree</t>
        </is>
      </c>
      <c r="J45" s="49" t="inlineStr">
        <is>
          <t>Kids Girls Green White Check Dungaree Dress with Puff Sleeve Poplin Top &amp; Adjustable Strap</t>
        </is>
      </c>
      <c r="K45" s="49">
        <f>IFERROR(__xludf.DUMMYFUNCTION("AI(""Fill an appropriate value for this cell based on the table context"")"),"Kids Girls Green Check Dungaree Dress with Puff Sleeve Poplin Top and Adjustable Straps")</f>
        <v/>
      </c>
      <c r="L45" s="49">
        <f>IFERROR(__xludf.DUMMYFUNCTION("AI(""Fill an appropriate value for this cell based on the table context"")"),"Purple United Kids Girls White Green Check Dungaree Dress with Puff Sleeve Top for Infants")</f>
        <v/>
      </c>
      <c r="M45" s="51" t="inlineStr">
        <is>
          <t>CHECK PATTERN DUNGAREE SILHOUETTE: Designed with a classic check patterned dungaree dress that creates a structured infant outfit. The tailored dungaree shape keeps the look neat while allowing comfortable movement for everyday infant wear.
POPLIN &amp; YARN-DYED COTTON FABRIC: Crafted using breathable Poplin and Yarn-Dyed Cotton fabric that provides lightweight comfort and durability. The fabric structure maintains its shape while remaining gentle on delicate infant skin.
COORDINATED TWO-PIECE OUTFIT SET: Includes a puff sleeve top paired with a check dungaree dress, creating a complete outfit designed specifically for infant girls and suitable for casual wear or outings.
ADJUSTABLE SHOULDER STRAP DESIGN: The dungaree straps allow easy adjustment for a secure fit and provide flexibility as infants grow, making the outfit practical for extended wear.
FUNCTIONAL BUTTON CLOSURE DETAIL: Thoughtfully placed button closure allows convenient dressing and changing while maintaining the clean structured appearance of the dungaree outfit.</t>
        </is>
      </c>
      <c r="N45" s="48" t="inlineStr">
        <is>
          <t>Purple United Kids presents a thoughtfully designed dungaree outfit created especially for infant girls. This coordinated two-piece set includes a check patterned dungaree paired with a puff sleeve top, forming a charming outfit that balances playful design with everyday comfort.
The dungaree is crafted using Yarn-Dyed Cotton fabric, giving the check pattern a refined textured appearance while maintaining breathability suitable for delicate infant skin. The accompanying top is made from Poplin fabric, known for its smooth surface and lightweight feel, ensuring comfortable wear during warmer days.
Designed with adjustable shoulder straps and button fastening, the dungaree allows a flexible fit as infants grow while keeping the outfit secure and easy to wear. The structured silhouette creates a neat and coordinated appearance while still allowing infants to move freely throughout the day.
This dungaree set works beautifully for casual outings, family gatherings, celebrations, or everyday infant wear. With its thoughtful fabric selection, gentle comfort, and coordinated styling, the outfit reflects Purple United Kids’ approach to contemporary infant fashion designed for comfort and charm.</t>
        </is>
      </c>
    </row>
    <row r="46">
      <c r="A46" s="42" t="n"/>
      <c r="B46" s="34" t="inlineStr">
        <is>
          <t>PGDNGA003012</t>
        </is>
      </c>
      <c r="C46" s="34" t="inlineStr">
        <is>
          <t>APPAREL</t>
        </is>
      </c>
      <c r="D46" s="34" t="inlineStr">
        <is>
          <t>DENIM</t>
        </is>
      </c>
      <c r="E46" s="34" t="inlineStr">
        <is>
          <t>KIDS GIRLS</t>
        </is>
      </c>
      <c r="F46" s="34" t="inlineStr">
        <is>
          <t>DK. BLUE</t>
        </is>
      </c>
      <c r="G46" s="34" t="inlineStr">
        <is>
          <t>PGDNGA003012-DK. BLUE</t>
        </is>
      </c>
      <c r="H46" s="49" t="inlineStr">
        <is>
          <t>Purple United Kids Girls Dark Blue Denim Dungaree Dress with Cross Back Straps and Floral Embroidered Pocket Detail | Kids Denim Dress for Girls | Dungaree Dress for Kids Girls</t>
        </is>
      </c>
      <c r="I46" s="48" t="inlineStr">
        <is>
          <t>Kids Girl Denim Dungaree Dress</t>
        </is>
      </c>
      <c r="J46" s="49" t="inlineStr">
        <is>
          <t>Kids Girls Dark Blue Denim Dungaree Dress with Cross Back Straps &amp; Embroidered Pocket</t>
        </is>
      </c>
      <c r="K46" s="49">
        <f>IFERROR(__xludf.DUMMYFUNCTION("AI(""Fill an appropriate value for this cell based on the table context"")"),"Purple United Kids Girls Dark Blue Denim Dungaree Dress with Floral Embroidery and Cross Back Straps")</f>
        <v/>
      </c>
      <c r="L46" s="49">
        <f>IFERROR(__xludf.DUMMYFUNCTION("AI(""Fill an appropriate value for this cell based on the table context"")"),"Purple United Kids Girls Dark Blue Denim Dungaree Dress with Floral Embroidery and Cross Back Straps")</f>
        <v/>
      </c>
      <c r="M46" s="51" t="inlineStr">
        <is>
          <t>DENIM DUNGAREE DRESS DESIGN: Crafted as a classic denim dungaree dress with a structured silhouette that brings together timeless kidswear styling and practical everyday wearability, creating a versatile outfit suitable for outings, playtime, and casual occasions.
EMBROIDERED POCKET DETAIL: The front pocket features delicate floral embroidery that adds visual character to the denim surface while maintaining a refined design element that complements the overall structure of the dungaree dress.
CROSS BACK STRAP STRUCTURE: Designed with crossed shoulder straps at the back, providing a secure and balanced fit while enhancing the garment’s silhouette and allowing comfortable movement for kids throughout daily activities.
COMFORTABLE DENIM FABRIC BUILD: Constructed using soft yet durable denim fabric that maintains its shape over time while offering flexibility and comfort, ensuring the dress remains suitable for everyday wear and active movement.
LAYER-FRIENDLY OUTFIT STYLING: The dungaree dress can be easily layered with t-shirts, tops, or blouses underneath, making it adaptable for different occasions while creating a coordinated outfit suitable for everyday kidswear styling.</t>
        </is>
      </c>
      <c r="N46" s="48" t="inlineStr">
        <is>
          <t>Purple United Kids presents a thoughtfully designed denim dungaree dress created for girls who enjoy comfortable and expressive everyday fashion. This outfit combines classic denim styling with playful detailing, resulting in a piece that feels both practical and distinctive.
The dress features a structured dungaree silhouette crafted from soft yet durable denim fabric. The design allows natural movement, making it suitable for active kids while maintaining a neat and polished appearance.
A floral embroidered pocket detail on the front adds a subtle decorative element that enhances the overall character of the dress. The crossed shoulder strap construction provides a secure and balanced fit while contributing to the overall design structure.
The versatile design allows the dungaree dress to be layered easily with t-shirts or tops, making it adaptable across seasons and occasions. Whether worn for casual outings, playtime, or everyday activities, the dress delivers comfort while maintaining a modern kidswear aesthetic.
With its thoughtful design details and wearable denim construction, this dungaree dress reflects Purple United Kids’ approach to contemporary girls fashion that blends practicality with playful styling.</t>
        </is>
      </c>
    </row>
    <row r="47">
      <c r="A47" s="42" t="n"/>
      <c r="B47" s="34" t="inlineStr">
        <is>
          <t>PBTSHS002790</t>
        </is>
      </c>
      <c r="C47" s="34" t="inlineStr">
        <is>
          <t>APPAREL</t>
        </is>
      </c>
      <c r="D47" s="34" t="inlineStr">
        <is>
          <t>T-SHIRT</t>
        </is>
      </c>
      <c r="E47" s="34" t="inlineStr">
        <is>
          <t>KIDS BOYS</t>
        </is>
      </c>
      <c r="F47" s="34" t="inlineStr">
        <is>
          <t>BROWN</t>
        </is>
      </c>
      <c r="G47" s="34" t="inlineStr">
        <is>
          <t>PBTSHS002790-BROWN</t>
        </is>
      </c>
      <c r="H47" s="49" t="inlineStr">
        <is>
          <t>Purple United Kids Boys Tshirt Brown with Breathable Cotton Knit Fabric | Lightweight Summer Comfort and Crew Neck Design | Casual Short Sleeve Kids Tshirt for Boys</t>
        </is>
      </c>
      <c r="I47" s="48" t="inlineStr">
        <is>
          <t>Kids Boys Brown Summer Tshirt</t>
        </is>
      </c>
      <c r="J47" s="49" t="inlineStr">
        <is>
          <t>Kids Boys Tshirt Brown with Breathable Cotton Fabric Short Sleeve Summer Casual T Shirt</t>
        </is>
      </c>
      <c r="K47" s="49">
        <f>IFERROR(__xludf.DUMMYFUNCTION("AI(""Fill an appropriate value for this cell based on the table context"")"),"Kids Boys Brown Cotton T-Shirt with Breathable Knit Fabric, Crew Neck &amp; Casual Short Sleeve Design")</f>
        <v/>
      </c>
      <c r="L47" s="49">
        <f>IFERROR(__xludf.DUMMYFUNCTION("AI(""Fill an appropriate value for this cell based on the table context"")"),"Purple United Kids Boys Brown Cotton Knit Short Sleeve Casual T-Shirt with Breathable Summer Comfort Crew Neck")</f>
        <v/>
      </c>
      <c r="M47" s="51" t="inlineStr">
        <is>
          <t>BREATHABLE SUMMER COTTON FABRIC: Crafted using lightweight cotton knit fabric that allows airflow and keeps kids comfortable during warmer days. The breathable texture makes the t-shirt suitable for summer outings, playtime, and everyday wear.
SOFT COTTON KNIT COMFORT: The smooth cotton knit surface feels gentle on skin while maintaining flexibility for active movement. Designed for daily kidswear, the fabric provides lasting comfort through school hours, outdoor play, and casual activities.
CLASSIC CREW NECK STRUCTURE: Designed with a ribbed crew neckline that retains its shape after repeated wear. The neckline structure offers a comfortable fit around the collar area while supporting easy movement during everyday activities.
RELAXED SHORT SLEEVE PROFILE: Short sleeve construction provides a relaxed summer-ready profile that keeps kids cool during warm weather. The sleeve design allows comfortable arm movement, making the t-shirt suitable for active play and casual outings.
VERSATILE EVERYDAY STYLING: The versatile silhouette pairs effortlessly with denim, shorts, joggers, or casual bottoms. Suitable for school days, vacations, and weekend outings, the t-shirt easily integrates into everyday kids wardrobes.</t>
        </is>
      </c>
      <c r="N47" s="48" t="inlineStr">
        <is>
          <t>Designed for everyday comfort and effortless summer styling, this Kids Boys Tshirt brings together breathable fabric, relaxed structure, and versatile casual appeal. Crafted from soft cotton knit, the fabric feels smooth against the skin while allowing airflow, making it suitable for warm weather and active kids routines. The lightweight construction supports easy movement throughout the day, whether during playtime, outdoor activities, or casual outings.
The classic crew neck design maintains its shape while offering a comfortable neckline fit, and the short sleeve profile keeps the t-shirt summer ready. Its relaxed silhouette ensures that the garment sits comfortably without restricting movement, making it ideal for daily wear.
This t shirt for kids boys pairs effortlessly with denim jeans, shorts, joggers, or casual trousers, allowing multiple outfit combinations for different occasions. Suitable for school days, weekend outings, and everyday kidswear, this casual t shirt for boys blends practicality with modern kids fashion, making it a dependable addition to any kids wear for boys wardrobe.</t>
        </is>
      </c>
    </row>
    <row r="48">
      <c r="A48" s="42" t="n"/>
      <c r="B48" s="34" t="inlineStr">
        <is>
          <t>PUCSLS002969</t>
        </is>
      </c>
      <c r="C48" s="34" t="inlineStr">
        <is>
          <t>APPAREL</t>
        </is>
      </c>
      <c r="D48" s="34" t="inlineStr">
        <is>
          <t>CLOTHING SET</t>
        </is>
      </c>
      <c r="E48" s="34" t="inlineStr">
        <is>
          <t>KIDS-UNISEX</t>
        </is>
      </c>
      <c r="F48" s="34" t="inlineStr">
        <is>
          <t>WHITE / PINK MULTICOLOR</t>
        </is>
      </c>
      <c r="G48" s="34" t="inlineStr">
        <is>
          <t>PUCSLS002969-WHITE / PINK MULTICOLOR</t>
        </is>
      </c>
      <c r="H48" s="49" t="inlineStr">
        <is>
          <t>Purple United Kids Co ord Set Multicolor Summer Cotton Sleeveless Top with Printed Pants | Lightweight Kids Clothing Set for Infant Playwear and Everyday Comfort</t>
        </is>
      </c>
      <c r="I48" s="48" t="inlineStr">
        <is>
          <t>Kids Clothing Set for Infant</t>
        </is>
      </c>
      <c r="J48" s="49" t="inlineStr">
        <is>
          <t>Kids Co ord Set White Pink Cotton Sleeveless Top &amp; Printed Pants for Relaxed Summer</t>
        </is>
      </c>
      <c r="K48" s="49">
        <f>IFERROR(__xludf.DUMMYFUNCTION("AI(""Fill an appropriate value for this cell based on the table context"")"),"Kids Unisex Co-ord Set in White &amp; Pink Multicolor with Sleeveless Top, Printed Pants &amp; Breathable Cotton Comfort")</f>
        <v/>
      </c>
      <c r="L48" s="49">
        <f>IFERROR(__xludf.DUMMYFUNCTION("AI(""Fill an appropriate value for this cell based on the table context"")"),"Purple United Kids White Pink Multicolor Cotton Sleeveless Top &amp; Printed Pants Co ord Set for Relaxed Summer")</f>
        <v/>
      </c>
      <c r="M48" s="51" t="inlineStr">
        <is>
          <t>BREATHABLE COTTON SUMMER FABRIC: Crafted from soft breathable cotton fabric designed for delicate infant skin. This Kids Clothing Set offers lightweight comfort, making it ideal baby summer clothes for daily wear, playtime, travel, and warm weather outings.
SLEEVELESS EASY WEAR TOP: Designed with a sleeveless silhouette and convenient shoulder snap opening, the top allows effortless dressing. The comfortable neckline structure keeps infants relaxed while supporting movement during play, rest, and everyday activities.
ADJUSTABLE ELASTIC WAIST PANTS: The coordinated pants feature a stretchable elastic waistband with adjustable drawstring for a flexible fit. The relaxed construction supports crawling, playtime, and movement, making this Kids Co ord Set practical.
COORDINATED TWO PIECE OUTFIT: This thoughtfully designed Kids Co ord Set includes a sleeveless top paired with comfortable printed pants, creating a balanced infant outfit suitable for everyday kids wear, casual outings, and summer baby clothing.
VERSATILE INFANT SUMMER CLOTHING SET: Designed for comfort and playful styling, this Kids Clothing Set works perfectly as baby summer clothes, newborn baby dress alternative, and coordinated infant outfit suitable for home wear, outings, and baby gifting.</t>
        </is>
      </c>
      <c r="N48" s="48" t="inlineStr">
        <is>
          <t>Designed for comfort, playfulness, and everyday ease, this Purple United Kids Co ord Set is a thoughtfully crafted Kids Clothing Set created especially for infants and toddlers. Made using soft, breathable cotton fabric, the outfit feels gentle on delicate skin while allowing airflow, making it ideal baby summer clothes for warm weather days. The sleeveless top features a comfortable neckline with convenient shoulder snap buttons that make dressing quick and easy for parents while ensuring a relaxed fit for babies.
The coordinated pants are designed with a stretchable elastic waistband and adjustable drawstring, offering flexibility and comfort during crawling, movement, and active playtime. The lightweight construction makes this Kids Co ord Set suitable for everyday wear, playdates, outings, and relaxed home moments.
This versatile Kids Clothing Set works perfectly as baby clothes, newborn baby dress alternative, or summer clothes for baby girl and infants, offering a balanced blend of softness, practicality, and playful styling. Whether chosen as a newborn baby gift, baby gift set, or everyday infant clothing, this coordinated outfit adds comfort and charm to any baby wardrobe.</t>
        </is>
      </c>
    </row>
    <row r="49">
      <c r="A49" s="42" t="n"/>
      <c r="B49" s="34" t="inlineStr">
        <is>
          <t>PUCSLS002969</t>
        </is>
      </c>
      <c r="C49" s="34" t="inlineStr">
        <is>
          <t>APPAREL</t>
        </is>
      </c>
      <c r="D49" s="34" t="inlineStr">
        <is>
          <t>CLOTHING SET</t>
        </is>
      </c>
      <c r="E49" s="34" t="inlineStr">
        <is>
          <t>KIDS-UNISEX</t>
        </is>
      </c>
      <c r="F49" s="34" t="inlineStr">
        <is>
          <t>WHITE / BLUE MULTICOLOR</t>
        </is>
      </c>
      <c r="G49" s="33" t="inlineStr">
        <is>
          <t>PUCSLS002969-WHITE / BLUE MULTICOLOR</t>
        </is>
      </c>
      <c r="H49" s="49" t="inlineStr">
        <is>
          <t>Purple United Kids Co ord Set Multicolor Summer Cotton Sleeveless Top with Printed Pants | Lightweight Kids Clothing Set for Infant Playwear and Everyday Comfort</t>
        </is>
      </c>
      <c r="I49" s="48" t="inlineStr">
        <is>
          <t>Kids Clothing Set for Infant</t>
        </is>
      </c>
      <c r="J49" s="49" t="inlineStr">
        <is>
          <t>Kids Co ord Set White Blue Cotton Sleeveless Top &amp; Printed Pants for Relaxed Summer</t>
        </is>
      </c>
      <c r="K49" s="49">
        <f>IFERROR(__xludf.DUMMYFUNCTION("AI(""Fill an appropriate value for this cell based on the table context"")"),"Kids Unisex Cotton Co-ord Set in White / Blue Multicolor with Sleeveless Top and Printed Pants")</f>
        <v/>
      </c>
      <c r="L49" s="49">
        <f>IFERROR(__xludf.DUMMYFUNCTION("AI(""Fill an appropriate value for this cell based on the table context"")"),"Purple United Kids Co ord Set White Blue Cotton Sleeveless Top &amp; Printed Pants for Relaxed Summer")</f>
        <v/>
      </c>
      <c r="M49" s="51" t="inlineStr">
        <is>
          <t>BREATHABLE COTTON SUMMER FABRIC: Crafted from soft breathable cotton fabric designed for delicate infant skin. This Kids Clothing Set offers lightweight comfort, making it ideal baby summer clothes for daily wear, playtime, travel, and warm weather outings.
SLEEVELESS EASY WEAR TOP: Designed with a sleeveless silhouette and convenient shoulder snap opening, the top allows effortless dressing. The comfortable neckline structure keeps infants relaxed while supporting movement during play, rest, and everyday activities.
ADJUSTABLE ELASTIC WAIST PANTS: The coordinated pants feature a stretchable elastic waistband with adjustable drawstring for a flexible fit. The relaxed construction supports crawling, playtime, and movement, making this Kids Co ord Set practical.
COORDINATED TWO PIECE OUTFIT: This thoughtfully designed Kids Co ord Set includes a sleeveless top paired with comfortable printed pants, creating a balanced infant outfit suitable for everyday kids wear, casual outings, and summer baby clothing.
VERSATILE INFANT SUMMER CLOTHING SET: Designed for comfort and playful styling, this Kids Clothing Set works perfectly as baby summer clothes, newborn baby dress alternative, and coordinated infant outfit suitable for home wear, outings, and baby gifting.</t>
        </is>
      </c>
      <c r="N49" s="48" t="inlineStr">
        <is>
          <t>Designed for comfort, playfulness, and everyday ease, this Purple United Kids Co ord Set is a thoughtfully crafted Kids Clothing Set created especially for infants and toddlers. Made using soft, breathable cotton fabric, the outfit feels gentle on delicate skin while allowing airflow, making it ideal baby summer clothes for warm weather days. The sleeveless top features a comfortable neckline with convenient shoulder snap buttons that make dressing quick and easy for parents while ensuring a relaxed fit for babies.
The coordinated pants are designed with a stretchable elastic waistband and adjustable drawstring, offering flexibility and comfort during crawling, movement, and active playtime. The lightweight construction makes this Kids Co ord Set suitable for everyday wear, playdates, outings, and relaxed home moments.
This versatile Kids Clothing Set works perfectly as baby clothes, newborn baby dress alternative, or summer clothes for baby girl and infants, offering a balanced blend of softness, practicality, and playful styling. Whether chosen as a newborn baby gift, baby gift set, or everyday infant clothing, this coordinated outfit adds comfort and charm to any baby wardrobe.</t>
        </is>
      </c>
    </row>
    <row r="50">
      <c r="A50" s="42" t="n"/>
      <c r="B50" s="34" t="inlineStr">
        <is>
          <t>PGCSCS002959</t>
        </is>
      </c>
      <c r="C50" s="34" t="inlineStr">
        <is>
          <t>APPAREL</t>
        </is>
      </c>
      <c r="D50" s="34" t="inlineStr">
        <is>
          <t>CLOTHING SET</t>
        </is>
      </c>
      <c r="E50" s="34" t="inlineStr">
        <is>
          <t>KIDS GIRLS</t>
        </is>
      </c>
      <c r="F50" s="34" t="inlineStr">
        <is>
          <t>LT. BLUE</t>
        </is>
      </c>
      <c r="G50" s="34" t="inlineStr">
        <is>
          <t>PGCSCS002959-LT. BLUE</t>
        </is>
      </c>
      <c r="H50" s="49" t="inlineStr">
        <is>
          <t>Purple United Kids Baby Girl Co ord Set | Textured Ruffle Sleeve Top with Embroidery &amp; Gingham Pants | Soft Cotton Infant Clothing Set | Breathable Baby Summer Clothes 0-24 Months</t>
        </is>
      </c>
      <c r="I50" s="48" t="inlineStr">
        <is>
          <t>Baby Girl Blue Co ord Set</t>
        </is>
      </c>
      <c r="J50" s="49" t="inlineStr">
        <is>
          <t>Baby Girl Co ord Set Textured Top with Gingham Pants Light Blue Infant Clothing Set</t>
        </is>
      </c>
      <c r="K50" s="49">
        <f>IFERROR(__xludf.DUMMYFUNCTION("AI(""Fill an appropriate value for this cell based on the table context"")"),"Baby Girls Co-ord Set in Light Blue with Textured Ruffle Sleeve Top &amp; Gingham Check Pants")</f>
        <v/>
      </c>
      <c r="L50" s="49">
        <f>IFERROR(__xludf.DUMMYFUNCTION("AI(""Fill an appropriate value for this cell based on the table context"")"),"Purple United Kids Baby Girl Light Blue Cotton Co-ord Set with Textured Ruffle Top &amp; Gingham Pants")</f>
        <v/>
      </c>
      <c r="M50" s="51" t="inlineStr">
        <is>
          <t>BREATHABLE SUMMER COTTON COMFORT: Crafted from breathable lightweight cotton, this Baby Girl Co ord Set offers airy comfort for delicate skin. Perfect baby summer clothes and infant clothing set designed for warm weather, daily wear, naps, and playtime.
ELEGANT TEXTURED TOP DESIGN: Beautifully designed sleeveless top with delicate ruffle sleeves, soft textured fabric, and gentle embroidery detailing enhances this Baby Girl Clothing Set, creating a charming infant outfit ideal for everyday baby wear.
RELAXED GINGHAM CHECK PANTS: The coordinated gingham check pants feature a soft elastic waistband and relaxed silhouette, allowing comfortable movement. This Baby Girl Co ord Set supports crawling, playtime, and active moments in breathable infant clothing.
INFANT-FRIENDLY COMFORT FIT: Thoughtfully tailored for infants, this Baby Girl Clothing Set features smooth inner finishing and lightweight cotton fabric that feels gentle on skin, making it a comfortable newborn baby outfit and infant clothing set.
IDEAL BABY GIFT CLOTHING SET: A charming Baby Girl Co ord Set perfect as newborn baby gift, baby gift set, or everyday infant clothing. This coordinated baby outfit blends comfort, style, and practicality for modern baby wardrobes.</t>
        </is>
      </c>
      <c r="N50" s="48" t="inlineStr">
        <is>
          <t>Designed with comfort, softness, and thoughtful detailing, this Purple United Kids Baby Girl Co ord Set brings together charming design and everyday practicality. Crafted from breathable cotton fabric, this Baby Girl Clothing Set keeps delicate skin cool and comfortable, making it ideal baby summer clothes for infants and toddlers. The textured sleeveless top features graceful ruffle sleeves and delicate embroidery accents that add a gentle decorative touch while maintaining lightweight comfort.
The coordinated gingham check pants are designed with a soft elastic waistband and relaxed silhouette, allowing easy movement during crawling, playtime, and daily activities. This infant clothing set is carefully tailored to ensure comfort-led wear for babies while offering a coordinated look that parents love.
Perfect for everyday dressing, outings, or relaxed home moments, this Baby Girl Co ord Set also works beautifully as newborn baby clothes, baby gift set, or newborn baby gift. Combining breathable fabric, soft structure, and coordinated styling, this Baby Girl Clothing Set becomes a versatile addition to any baby wardrobe, offering comfort, charm, and effortless dressing for growing little ones.</t>
        </is>
      </c>
    </row>
    <row r="51">
      <c r="A51" s="42" t="n"/>
      <c r="B51" s="34" t="inlineStr">
        <is>
          <t>PGCSCS002959</t>
        </is>
      </c>
      <c r="C51" s="34" t="inlineStr">
        <is>
          <t>APPAREL</t>
        </is>
      </c>
      <c r="D51" s="34" t="inlineStr">
        <is>
          <t>CLOTHING SET</t>
        </is>
      </c>
      <c r="E51" s="34" t="inlineStr">
        <is>
          <t>KIDS GIRLS</t>
        </is>
      </c>
      <c r="F51" s="34" t="inlineStr">
        <is>
          <t>YELLOW</t>
        </is>
      </c>
      <c r="G51" s="34" t="inlineStr">
        <is>
          <t>PGCSCS002959-YELLOW</t>
        </is>
      </c>
      <c r="H51" s="49" t="inlineStr">
        <is>
          <t>Purple United Kids Baby Girl Co ord Set | Textured Ruffle Sleeve Top with Embroidery &amp; Gingham Pants | Soft Cotton Infant Clothing Set | Breathable Baby Summer Clothes 0-24 Months</t>
        </is>
      </c>
      <c r="I51" s="48" t="inlineStr">
        <is>
          <t>Baby Girl Yellow Co ord Set</t>
        </is>
      </c>
      <c r="J51" s="49" t="inlineStr">
        <is>
          <t>Baby Girl Co ord Set Textured Top with Gingham Pants Yellow Infant Clothing Set</t>
        </is>
      </c>
      <c r="K51" s="49">
        <f>IFERROR(__xludf.DUMMYFUNCTION("AI(""Fill an appropriate value for this cell based on the table context"")"),"Kids Girls Co ord Set in Yellow with Textured Ruffle Sleeve Top, Gingham Pants &amp; Embroidery Detail")</f>
        <v/>
      </c>
      <c r="L51" s="49">
        <f>IFERROR(__xludf.DUMMYFUNCTION("AI(""Fill an appropriate value for this cell based on the table context"")"),"Purple United Kids Baby Girl Yellow Co ord Set with Textured Ruffle Sleeve Top and Gingham Pants")</f>
        <v/>
      </c>
      <c r="M51" s="51" t="inlineStr">
        <is>
          <t>BREATHABLE SUMMER COTTON COMFORT: Crafted from breathable lightweight cotton, this Baby Girl Co ord Set offers airy comfort for delicate skin. Perfect baby summer clothes and infant clothing set designed for warm weather, daily wear, naps, and playtime.
ELEGANT TEXTURED TOP DESIGN: Beautifully designed sleeveless top with delicate ruffle sleeves, soft textured fabric, and gentle embroidery detailing enhances this Baby Girl Clothing Set, creating a charming infant outfit ideal for everyday baby wear.
RELAXED GINGHAM CHECK PANTS: The coordinated gingham check pants feature a soft elastic waistband and relaxed silhouette, allowing comfortable movement. This Baby Girl Co ord Set supports crawling, playtime, and active moments in breathable infant clothing.
INFANT-FRIENDLY COMFORT FIT: Thoughtfully tailored for infants, this Baby Girl Clothing Set features smooth inner finishing and lightweight cotton fabric that feels gentle on skin, making it a comfortable newborn baby outfit and infant clothing set.
IDEAL BABY GIFT CLOTHING SET: A charming Baby Girl Co ord Set perfect as newborn baby gift, baby gift set, or everyday infant clothing. This coordinated baby outfit blends comfort, style, and practicality for modern baby wardrobes.</t>
        </is>
      </c>
      <c r="N51" s="48" t="inlineStr">
        <is>
          <t>Designed with comfort, softness, and thoughtful detailing, this Purple United Kids Baby Girl Co ord Set brings together charming design and everyday practicality. Crafted from breathable cotton fabric, this Baby Girl Clothing Set keeps delicate skin cool and comfortable, making it ideal baby summer clothes for infants and toddlers. The textured sleeveless top features graceful ruffle sleeves and delicate embroidery accents that add a gentle decorative touch while maintaining lightweight comfort.
The coordinated gingham check pants are designed with a soft elastic waistband and relaxed silhouette, allowing easy movement during crawling, playtime, and daily activities. This infant clothing set is carefully tailored to ensure comfort-led wear for babies while offering a coordinated look that parents love.
Perfect for everyday dressing, outings, or relaxed home moments, this Baby Girl Co ord Set also works beautifully as newborn baby clothes, baby gift set, or newborn baby gift. Combining breathable fabric, soft structure, and coordinated styling, this Baby Girl Clothing Set becomes a versatile addition to any baby wardrobe, offering comfort, charm, and effortless dressing for growing little ones.</t>
        </is>
      </c>
    </row>
    <row r="52">
      <c r="A52" s="42" t="n"/>
      <c r="B52" s="34" t="inlineStr">
        <is>
          <t>PGCSCS002958</t>
        </is>
      </c>
      <c r="C52" s="34" t="inlineStr">
        <is>
          <t>APPAREL</t>
        </is>
      </c>
      <c r="D52" s="34" t="inlineStr">
        <is>
          <t>CLOTHING SET</t>
        </is>
      </c>
      <c r="E52" s="34" t="inlineStr">
        <is>
          <t>KIDS GIRLS</t>
        </is>
      </c>
      <c r="F52" s="34" t="inlineStr">
        <is>
          <t>LT. YELLOW</t>
        </is>
      </c>
      <c r="G52" s="34" t="inlineStr">
        <is>
          <t>PGCSCS002958-LT. YELLOW</t>
        </is>
      </c>
      <c r="H52" s="49" t="inlineStr">
        <is>
          <t xml:space="preserve">Purple United Kids Baby Girl Co ord Set Light Yellow | Cherry Print Cotton Top with Bow Straps &amp; Ruffle Shorts | Baby Girl Clothing Set | Breathable Baby Summer Dress for Infant </t>
        </is>
      </c>
      <c r="I52" s="48" t="inlineStr">
        <is>
          <t xml:space="preserve">Infant Baby Girl Clothing Set </t>
        </is>
      </c>
      <c r="J52" s="49" t="inlineStr">
        <is>
          <t>Baby Girl Co ord Set Light Yellow Cherry Print Top with Ruffle Shorts Infant Clothing Set</t>
        </is>
      </c>
      <c r="K52" s="49">
        <f>IFERROR(__xludf.DUMMYFUNCTION("AI(""Fill an appropriate value for this cell based on the table context"")"),"Baby Girl Co ord Set in Light Yellow with Cherry Print, Bow Straps &amp; Ruffle Shorts")</f>
        <v/>
      </c>
      <c r="L52" s="49">
        <f>IFERROR(__xludf.DUMMYFUNCTION("AI(""Fill an appropriate value for this cell based on the table context"")"),"Purple United Kids Girls Light Yellow Cherry Print Co-ord Set with Bow Straps and Ruffle Shorts")</f>
        <v/>
      </c>
      <c r="M52" s="51" t="inlineStr">
        <is>
          <t>BREATHABLE COTTON SUMMER FABRIC: Crafted in airy cotton, this Baby Girl Co ord Set offers exceptional breathability and softness for delicate skin. Lightweight baby summer clothes designed for infants, ensuring all-day comfort during warm days, playtime, and outings.
PLAYFUL CHERRY PRINT DESIGN: Delicate cherry motifs, charming bow shoulder straps, and soft gathered detailing elevate this Baby Girl Clothing Set, creating a cheerful infant outfit that blends playful aesthetics with comfort-focused baby clothes styling.
COMFORTABLE ELASTIC WAIST SHORTS: Coordinated ruffle shorts feature a soft elastic waistband ensuring flexible movement for crawling babies. This Baby Girl Co ord Set delivers effortless comfort while maintaining stylish coordination within this thoughtfully designed infant clothing set.
INFANT-FRIENDLY SOFT CONSTRUCTION: Designed for newborns and infants, the gentle cotton texture and smooth interior finishing make this Baby Girl Clothing Set comfortable baby clothes suitable for everyday wear, newborn baby clothes collections, and delicate skin.
PERFECT BABY GIFT CLOTHING SET: This Baby Girl Co ord Set makes a charming newborn baby gift, baby gift set, or infant outfit. A versatile Baby Girl Clothing Set perfect for baby summer clothes, daily wear, and special moments.</t>
        </is>
      </c>
      <c r="N52" s="48" t="inlineStr">
        <is>
          <t>Designed to combine playful charm with everyday comfort, this Purple United Kids Baby Girl Co ord Set is a beautifully crafted Baby Girl Clothing Set made for infants and toddlers. Crafted from soft breathable cotton fabric, this lightweight outfit keeps delicate skin cool and comfortable, making it ideal baby summer clothes for warm weather days.
The sleeveless top features adorable cherry prints, delicate embroidery accents, and charming bow shoulder straps that add a sweet decorative touch while maintaining a soft, airy feel. The coordinated ruffle shorts are designed with a comfortable elastic waistband that ensures a gentle fit while allowing easy movement during crawling, playtime, and everyday activities.
This thoughtfully designed Baby Girl Co ord Set blends style with practicality, making it perfect as baby clothes, newborn baby dress alternative, or a charming baby gift set. Whether chosen for outings, playtime, or relaxed home moments, this Baby Girl Clothing Set adds a delightful and comfortable addition to any baby wardrobe.</t>
        </is>
      </c>
    </row>
    <row r="53">
      <c r="A53" s="42" t="n"/>
      <c r="B53" s="34" t="inlineStr">
        <is>
          <t>PGCSCS002958</t>
        </is>
      </c>
      <c r="C53" s="34" t="inlineStr">
        <is>
          <t>APPAREL</t>
        </is>
      </c>
      <c r="D53" s="34" t="inlineStr">
        <is>
          <t>CLOTHING SET</t>
        </is>
      </c>
      <c r="E53" s="34" t="inlineStr">
        <is>
          <t>KIDS GIRLS</t>
        </is>
      </c>
      <c r="F53" s="34" t="inlineStr">
        <is>
          <t>WHITE</t>
        </is>
      </c>
      <c r="G53" s="34" t="inlineStr">
        <is>
          <t>PGCSCS002958-WHITE</t>
        </is>
      </c>
      <c r="H53" s="49" t="inlineStr">
        <is>
          <t xml:space="preserve">Purple United Kids Baby Girl Co ord Set White | Cherry Print Cotton Top with Bow Straps &amp; Ruffle Shorts | Baby Girl Clothing Set | Breathable Baby Summer Dress for Infant </t>
        </is>
      </c>
      <c r="I53" s="48" t="inlineStr">
        <is>
          <t xml:space="preserve">Baby Girl White Clothing Set </t>
        </is>
      </c>
      <c r="J53" s="49" t="inlineStr">
        <is>
          <t>Baby Girl Co ord Set White Cherry Print Top with Ruffle Shorts Infant Clothing Set</t>
        </is>
      </c>
      <c r="K53" s="49">
        <f>IFERROR(__xludf.DUMMYFUNCTION("AI(""Fill an appropriate value for this cell based on the table context"")"),"Baby Girl White Co-ord Set with Cherry Print Top, Bow Straps &amp; Ruffle Shorts")</f>
        <v/>
      </c>
      <c r="L53" s="49">
        <f>IFERROR(__xludf.DUMMYFUNCTION("AI(""Fill an appropriate value for this cell based on the table context"")"),"Purple United Kids Baby Girl White Cherry Print Cotton Top and Ruffle Shorts Clothing Set")</f>
        <v/>
      </c>
      <c r="M53" s="51" t="inlineStr">
        <is>
          <t>BREATHABLE COTTON SUMMER FABRIC: Crafted in airy cotton, this Baby Girl Co ord Set offers exceptional breathability and softness for delicate skin. Lightweight baby summer clothes designed for infants, ensuring all-day comfort during warm days, playtime, and outings.
PLAYFUL CHERRY PRINT DESIGN: Delicate cherry motifs, charming bow shoulder straps, and soft gathered detailing elevate this Baby Girl Clothing Set, creating a cheerful infant outfit that blends playful aesthetics with comfort-focused baby clothes styling.
COMFORTABLE ELASTIC WAIST SHORTS: Coordinated ruffle shorts feature a soft elastic waistband ensuring flexible movement for crawling babies. This Baby Girl Co ord Set delivers effortless comfort while maintaining stylish coordination within this thoughtfully designed infant clothing set.
INFANT-FRIENDLY SOFT CONSTRUCTION: Designed for newborns and infants, the gentle cotton texture and smooth interior finishing make this Baby Girl Clothing Set comfortable baby clothes suitable for everyday wear, newborn baby clothes collections, and delicate skin.
PERFECT BABY GIFT CLOTHING SET: This Baby Girl Co ord Set makes a charming newborn baby gift, baby gift set, or infant outfit. A versatile Baby Girl Clothing Set perfect for baby summer clothes, daily wear, and special moments.</t>
        </is>
      </c>
      <c r="N53" s="48" t="inlineStr">
        <is>
          <t>Designed to combine playful charm with everyday comfort, this Purple United Kids Baby Girl Co ord Set is a beautifully crafted Baby Girl Clothing Set made for infants and toddlers. Crafted from soft breathable cotton fabric, this lightweight outfit keeps delicate skin cool and comfortable, making it ideal baby summer clothes for warm weather days.
The sleeveless top features adorable cherry prints, delicate embroidery accents, and charming bow shoulder straps that add a sweet decorative touch while maintaining a soft, airy feel. The coordinated ruffle shorts are designed with a comfortable elastic waistband that ensures a gentle fit while allowing easy movement during crawling, playtime, and everyday activities.
This thoughtfully designed Baby Girl Co ord Set blends style with practicality, making it perfect as baby clothes, newborn baby dress alternative, or a charming baby gift set. Whether chosen for outings, playtime, or relaxed home moments, this Baby Girl Clothing Set adds a delightful and comfortable addition to any baby wardrobe.</t>
        </is>
      </c>
    </row>
    <row r="54">
      <c r="A54" s="42" t="n"/>
      <c r="B54" s="34" t="inlineStr">
        <is>
          <t>PGDRSS002985</t>
        </is>
      </c>
      <c r="C54" s="34" t="inlineStr">
        <is>
          <t>APPAREL</t>
        </is>
      </c>
      <c r="D54" s="34" t="inlineStr">
        <is>
          <t>DRESS</t>
        </is>
      </c>
      <c r="E54" s="34" t="inlineStr">
        <is>
          <t>KIDS GIRLS</t>
        </is>
      </c>
      <c r="F54" s="34" t="inlineStr">
        <is>
          <t>PINK</t>
        </is>
      </c>
      <c r="G54" s="34" t="inlineStr">
        <is>
          <t>PGDRSS002985-PINK</t>
        </is>
      </c>
      <c r="H54" s="49" t="inlineStr">
        <is>
          <t>Purple United Kids Baby Girls Dress in Breathable Cotton with Polo Collar, Gingham Trim Detail &amp; Gathered Flared Hem | Soft Infant Summer Dress for Everyday Comfort | Baby Girl Cotton Dress</t>
        </is>
      </c>
      <c r="I54" s="48" t="inlineStr">
        <is>
          <t xml:space="preserve">Baby Girl Cotton Summer Dress </t>
        </is>
      </c>
      <c r="J54" s="49" t="inlineStr">
        <is>
          <t>Pink Baby Girls Dress in Soft Cotton with Polo Collar, Gingham Trim &amp; Infant Summer Fit</t>
        </is>
      </c>
      <c r="K54" s="49">
        <f>IFERROR(__xludf.DUMMYFUNCTION("AI(""Fill an appropriate value for this cell based on the table context"")"),"Kids Girls Cotton Dress in Pink with Polo Collar, Gingham Trim &amp; Flared Hem Detail")</f>
        <v/>
      </c>
      <c r="L54" s="49">
        <f>IFERROR(__xludf.DUMMYFUNCTION("AI(""Fill an appropriate value for this cell based on the table context"")"),"Purple United Kids Girls Pink Cotton Dress with Polo Collar &amp; Gingham Trim for Everyday Summer Wear")</f>
        <v/>
      </c>
      <c r="M54" s="51" t="inlineStr">
        <is>
          <t>BREATHABLE COTTON COMFORT: Crafted in soft breathable cotton, this baby girls dress offers lightweight comfort for delicate skin. A cotton baby girls dress designed for warm weather, making it an ideal infant summer dress.
CHARMING GINGHAM DETAILING: Designed with classic gingham collar and hem accents, this beautiful baby girls dress blends playful charm with refined detailing. A cute baby girls dress perfect for infant outfits.
EASY BUTTON POLO NECK DESIGN: The comfortable polo neck with front button placket allows easy dressing while maintaining a structured look. This infant dress combines practicality with style in a thoughtfully designed baby girl dress.
FLOWING FLARED SILHOUETTE: The gently gathered flared hem creates graceful movement and airy comfort. This summer dress for girls is designed as a stylish baby girls dress that supports playful movement throughout the day.
IDEAL FOR DAILY AND OCCASION WEAR: Perfect for casual outings, celebrations, or everyday wear, this baby girls dress complements infant clothes collections beautifully. A versatile baby girl dress designed for comfort, elegance, and summer-ready styling.</t>
        </is>
      </c>
      <c r="N54" s="48" t="inlineStr">
        <is>
          <t>Thoughtfully designed for comfort and everyday elegance, this baby girls dress from Purple United Kids brings together breathable fabric, charming detailing, and infant-friendly construction. Crafted from soft cotton, this cotton baby girls dress feels gentle against delicate skin while allowing airflow, making it ideal baby girl summer clothes for warm days and active little ones. The lightweight structure ensures easy movement, creating a comfortable infant dress suitable for playtime, outings, and relaxed home moments.
The design features a classic polo-style neckline with a neat button placket that allows easy dressing while maintaining a structured silhouette. Gingham accents along the collar and hem add subtle visual charm, enhancing the overall look of this beautiful baby girls dress. The softly gathered flared hem creates a graceful shape that allows freedom of movement and a playful feel.
Perfect for everyday styling, family outings, and casual occasions, this baby girl dress pairs comfort with thoughtful design. Whether chosen as a kids dress for girls, a charming baby girl outfit, or a delightful baby clothing addition, this baby girls dress offers a refined blend of softness, style, and practicality for growing little wardrobes.</t>
        </is>
      </c>
    </row>
    <row r="55">
      <c r="A55" s="42" t="n"/>
      <c r="B55" s="34" t="inlineStr">
        <is>
          <t>PGDRSS002985</t>
        </is>
      </c>
      <c r="C55" s="34" t="inlineStr">
        <is>
          <t>APPAREL</t>
        </is>
      </c>
      <c r="D55" s="34" t="inlineStr">
        <is>
          <t>DRESS</t>
        </is>
      </c>
      <c r="E55" s="34" t="inlineStr">
        <is>
          <t>KIDS GIRLS</t>
        </is>
      </c>
      <c r="F55" s="34" t="inlineStr">
        <is>
          <t>WHITE</t>
        </is>
      </c>
      <c r="G55" s="34" t="inlineStr">
        <is>
          <t>PGDRSS002985-WHITE</t>
        </is>
      </c>
      <c r="H55" s="49" t="inlineStr">
        <is>
          <t>Purple United Kids Baby Girls Dress in Breathable Cotton with Polo Collar, Gingham Trim Detail &amp; Gathered Flared Hem | Soft Infant Summer Dress for Everyday Comfort | Baby Girl Cotton Dress</t>
        </is>
      </c>
      <c r="I55" s="48" t="inlineStr">
        <is>
          <t xml:space="preserve">Baby Girl Cotton Summer Dress </t>
        </is>
      </c>
      <c r="J55" s="49" t="inlineStr">
        <is>
          <t>White Baby Girls Dress in Soft Cotton with Polo Collar, Gingham Trim &amp; Infant Summer Fit</t>
        </is>
      </c>
      <c r="K55" s="49">
        <f>IFERROR(__xludf.DUMMYFUNCTION("AI(""Fill an appropriate value for this cell based on the table context"")"),"Kids Girls Dress in White with Polo Collar, Gingham Trim &amp; Breathable Cotton Comfort")</f>
        <v/>
      </c>
      <c r="L55" s="49">
        <f>IFERROR(__xludf.DUMMYFUNCTION("AI(""Fill an appropriate value for this cell based on the table context"")"),"Purple United Kids Girls White Cotton Dress with Polo Collar and Gingham Trim for Everyday Wear")</f>
        <v/>
      </c>
      <c r="M55" s="51" t="inlineStr">
        <is>
          <t>BREATHABLE COTTON COMFORT: Crafted in soft breathable cotton, this baby girls dress offers lightweight comfort for delicate skin. A cotton baby girls dress designed for warm weather, making it an ideal infant summer dress.
CHARMING GINGHAM DETAILING: Designed with classic gingham collar and hem accents, this beautiful baby girls dress blends playful charm with refined detailing. A cute baby girls dress perfect for infant outfits.
EASY BUTTON POLO NECK DESIGN: The comfortable polo neck with front button placket allows easy dressing while maintaining a structured look. This infant dress combines practicality with style in a thoughtfully designed baby girl dress.
FLOWING FLARED SILHOUETTE: The gently gathered flared hem creates graceful movement and airy comfort. This summer dress for girls is designed as a stylish baby girls dress that supports playful movement throughout the day.
IDEAL FOR DAILY AND OCCASION WEAR: Perfect for casual outings, celebrations, or everyday wear, this baby girls dress complements infant clothes collections beautifully. A versatile baby girl dress designed for comfort, elegance, and summer-ready styling.</t>
        </is>
      </c>
      <c r="N55" s="48" t="inlineStr">
        <is>
          <t>Thoughtfully designed for comfort and everyday elegance, this baby girls dress from Purple United Kids brings together breathable fabric, charming detailing, and infant-friendly construction. Crafted from soft cotton, this cotton baby girls dress feels gentle against delicate skin while allowing airflow, making it ideal baby girl summer clothes for warm days and active little ones. The lightweight structure ensures easy movement, creating a comfortable infant dress suitable for playtime, outings, and relaxed home moments.
The design features a classic polo-style neckline with a neat button placket that allows easy dressing while maintaining a structured silhouette. Gingham accents along the collar and hem add subtle visual charm, enhancing the overall look of this beautiful baby girls dress. The softly gathered flared hem creates a graceful shape that allows freedom of movement and a playful feel.
Perfect for everyday styling, family outings, and casual occasions, this baby girl dress pairs comfort with thoughtful design. Whether chosen as a kids dress for girls, a charming baby girl outfit, or a delightful baby clothing addition, this baby girls dress offers a refined blend of softness, style, and practicality for growing little wardrobes.</t>
        </is>
      </c>
    </row>
    <row r="56">
      <c r="A56" s="42" t="n"/>
      <c r="B56" s="34" t="inlineStr">
        <is>
          <t>PGDUFS002979</t>
        </is>
      </c>
      <c r="C56" s="34" t="inlineStr">
        <is>
          <t>APPAREL</t>
        </is>
      </c>
      <c r="D56" s="34" t="inlineStr">
        <is>
          <t>DUNGAREE</t>
        </is>
      </c>
      <c r="E56" s="34" t="inlineStr">
        <is>
          <t>KIDS GIRLS</t>
        </is>
      </c>
      <c r="F56" s="34" t="inlineStr">
        <is>
          <t>WHITE / DK. BLUE</t>
        </is>
      </c>
      <c r="G56" s="34" t="inlineStr">
        <is>
          <t>PGDUFS002979-WHITE / DK. BLUE</t>
        </is>
      </c>
      <c r="H56" s="49" t="inlineStr">
        <is>
          <t>Purple United Kids Baby Girl Dungaree Denim Dress with Embroidered Collar Cotton Top | Infant Denim Dungaree Dress with Pockets &amp; Gathered Skirt | Baby Girl Dungaree Outfit for Stylish Infant Girls</t>
        </is>
      </c>
      <c r="I56" s="48" t="inlineStr">
        <is>
          <t>Baby Girl Dungaree Denim Dress</t>
        </is>
      </c>
      <c r="J56" s="49" t="inlineStr">
        <is>
          <t>Baby Girl Dungaree Denim Dress with Embroidered Collar Cotton Top for Infant Girls</t>
        </is>
      </c>
      <c r="K56" s="49">
        <f>IFERROR(__xludf.DUMMYFUNCTION("AI(""Fill an appropriate value for this cell based on the table context"")"),"Baby Girl Dungaree Denim Dress in White and Dark Blue with Embroidered Collar and Soft Cotton Top")</f>
        <v/>
      </c>
      <c r="L56" s="49">
        <f>IFERROR(__xludf.DUMMYFUNCTION("AI(""Fill an appropriate value for this cell based on the table context"")"),"Purple United Kids Baby Girl White and Dark Blue Dungaree Denim Dress with Embroidered Collar Cotton Top")</f>
        <v/>
      </c>
      <c r="M56" s="51" t="inlineStr">
        <is>
          <t>SOFT COTTON BLOUSE COMFORT: Designed with a breathable cotton blouse, this baby girl dungaree outfit offers gentle comfort for delicate skin. Lightweight fabric keeps infants comfortable throughout the day, making it ideal for everyday infant clothes.
CLASSIC DENIM DUNGAREE DESIGN: This baby girl dungaree features a soft denim dress with gathered skirt construction that allows comfortable movement. The structured denim baby girl dungaree dress adds playful charm while maintaining durability for daily wear.
EMBROIDERED COLLAR DETAILING: Beautiful floral embroidery on the scalloped collar elevates this dungaree baby girl dress with delicate craftsmanship. The thoughtful detailing adds elegance, creating a charming infant dungaree dress perfect for stylish everyday baby outfits.
FUNCTIONAL FRONT POCKETS: Dual embroidered pockets enhance the design of this baby girl denim dungaree dress while adding practical detail. These pockets contribute to the playful aesthetic while maintaining the classic structure of a denim baby girl dungaree.
PERFECT INFANT OUTFIT STYLING: Ideal for outings, celebrations, and daily wear, this baby girl dungaree outfit blends comfort with timeless design. A versatile dungaree dress for baby girl that complements infant clothes collections beautifully.</t>
        </is>
      </c>
      <c r="N56" s="48" t="inlineStr">
        <is>
          <t>Crafted with thoughtful design and infant-friendly comfort, this Purple United Kids baby girl dungaree outfit blends classic denim styling with delicate detailing. The outfit features a soft cotton blouse paired with a beautifully structured denim baby girl dungaree dress, creating a charming layered look perfect for infants and toddlers.
The cotton top offers breathable comfort and gentle softness against delicate skin, making it ideal for everyday wear. A scalloped collar enhanced with elegant floral embroidery adds refined detailing, giving the outfit a graceful finish while maintaining playful charm. The denim dungaree features a softly gathered skirt that allows natural movement, ensuring babies stay comfortable during playtime and outings.
Functional embroidered pockets on the front enhance the visual appeal while adding thoughtful design elements to the dungaree baby girl dress. The durable yet soft denim fabric ensures the outfit remains comfortable while maintaining its structure.
Perfect for casual outings, celebrations, and memorable moments, this baby girl dungaree dress offers a delightful blend of comfort, durability, and timeless styling, making it a beautiful addition to any infant wardrobe.</t>
        </is>
      </c>
    </row>
    <row r="57">
      <c r="A57" s="42" t="n"/>
      <c r="B57" s="34" t="inlineStr">
        <is>
          <t>PGTSHS003124</t>
        </is>
      </c>
      <c r="C57" s="34" t="inlineStr">
        <is>
          <t>APPAREL</t>
        </is>
      </c>
      <c r="D57" s="34" t="inlineStr">
        <is>
          <t>T-SHIRT</t>
        </is>
      </c>
      <c r="E57" s="34" t="inlineStr">
        <is>
          <t>KIDS GIRLS</t>
        </is>
      </c>
      <c r="F57" s="34" t="inlineStr">
        <is>
          <t>WHITE</t>
        </is>
      </c>
      <c r="G57" s="34" t="inlineStr">
        <is>
          <t>PGTSHS003124-WHITE</t>
        </is>
      </c>
      <c r="H57" s="49" t="inlineStr">
        <is>
          <t>Purple United Kids Girls Tshirt with Rich Cotton &amp; Puff Sleeves | Soft Breathable Fabric Girls Top | Lightweight T Shirt For Girls for Summer Outings, Playtime and Everyday Wear</t>
        </is>
      </c>
      <c r="I57" s="48" t="inlineStr">
        <is>
          <t>Summer Fit Kids Girls Tshirt</t>
        </is>
      </c>
      <c r="J57" s="49" t="inlineStr">
        <is>
          <t>Kids Girls Tshirt White Cotton Puff Sleeve Casual Summer Girls Top with Vibrant Artwork</t>
        </is>
      </c>
      <c r="K57" s="49">
        <f>IFERROR(__xludf.DUMMYFUNCTION("AI(""Fill an appropriate value for this cell based on the table context"")"),"Kids Girls T-Shirt in White with Puff Sleeves, Soft Breathable Fabric &amp; Vibrant Artwork Design")</f>
        <v/>
      </c>
      <c r="L57" s="49">
        <f>IFERROR(__xludf.DUMMYFUNCTION("AI(""Fill an appropriate value for this cell based on the table context"")"),"Purple United Kids Girls White Cotton Puff Sleeve T-Shirt for Summer Wear")</f>
        <v/>
      </c>
      <c r="M57" s="51" t="inlineStr">
        <is>
          <t>BREATHABLE SUMMER COTTON COMFORT: Crafted from lightweight breathable cotton, this Purple United Kids Kids Girls Tshirt keeps children cool during warm days. Soft knit texture ensures comfort, making it ideal summer wear for girls and everyday kids tshirt styling.
STYLISH PUFF SLEEVE SILHOUETTE: Designed with delicate puff sleeves, this Kids Girls Tshirt adds a fashionable touch to a classic girls tshirt. The structured sleeve detail transforms this cotton girls top into a standout summer top for girls.
SOFT SKIN-FRIENDLY FABRIC FEEL: The premium cotton fabric used in this Kids Girls Tshirt offers a gentle, skin-friendly feel perfect for daily wear. Smooth texture enhances comfort, making this girls tshirt suitable for long summer days.
VERSATILE EVERYDAY GIRLS TOP: This Kids Girls Tshirt functions as a versatile girls top that pairs effortlessly with shorts, jeans, skirts, or summer bottoms. A practical kids tshirt essential for casual outings, vacations, and everyday styling.
DESIGNED FOR ACTIVE SUMMER DAYS: Thoughtfully designed for comfort and movement, this Kids Girls Tshirt allows easy mobility for playtime and outdoor fun. Breathable cotton construction ensures it remains a reliable summer clothing choice for girls.</t>
        </is>
      </c>
      <c r="N57" s="48" t="inlineStr">
        <is>
          <t>The Purple United Kids Girls Tshirt is designed to bring together breathable comfort, playful style, and everyday versatility for modern kids wardrobes. Crafted from soft premium cotton, this tshirt for girls offers lightweight breathability that keeps children cool and comfortable during warm summer days. The smooth knit fabric provides a gentle feel on the skin, making it an ideal kids girls tshirt for active play, outings, and daily wear.
Designed with stylish puff sleeves and a relaxed silhouette, this girls tshirt combines comfort with modern fashion, transforming a classic girls top into a charming summer wear for girls. The soft cotton construction allows natural movement, making this kids tshirt suitable for long hours of play and outdoor activities.
Perfect as a versatile girls top, this t-shirt for girls pairs effortlessly with jeans, skirts, shorts, and casual bottoms. Whether styled for school days, vacations, or everyday outings, this Kids Girls Tshirt becomes a dependable addition to girls clothes collections, offering breathable comfort and effortless summer styling for young trendsetters.</t>
        </is>
      </c>
    </row>
    <row r="58">
      <c r="A58" s="42" t="n"/>
      <c r="B58" s="34" t="inlineStr">
        <is>
          <t>PBDNJA002998</t>
        </is>
      </c>
      <c r="C58" s="34" t="inlineStr">
        <is>
          <t>APPAREL</t>
        </is>
      </c>
      <c r="D58" s="34" t="inlineStr">
        <is>
          <t>DENIM</t>
        </is>
      </c>
      <c r="E58" s="34" t="inlineStr">
        <is>
          <t>KIDS BOYS</t>
        </is>
      </c>
      <c r="F58" s="34" t="inlineStr">
        <is>
          <t>LT. BLUE</t>
        </is>
      </c>
      <c r="G58" s="34" t="inlineStr">
        <is>
          <t>PBDNJA002998-LT. BLUE</t>
        </is>
      </c>
      <c r="H58" s="49" t="inlineStr">
        <is>
          <t>Purple United Kids Boys Denim Light Blue Wide Leg Jeans with Relaxed Baggy Fit | Soft Durable Cotton Denim | Breathable Comfortable Everyday Kids Wear</t>
        </is>
      </c>
      <c r="I58" s="48" t="inlineStr">
        <is>
          <t>Kids Boys Denim Wide Leg Jeans</t>
        </is>
      </c>
      <c r="J58" s="49" t="inlineStr">
        <is>
          <t xml:space="preserve">Kids Boys Denim Light Blue Wide Leg Baggy Jeans with Relaxed Fit for Everyday Wear
</t>
        </is>
      </c>
      <c r="K58" s="49">
        <f>IFERROR(__xludf.DUMMYFUNCTION("AI(""Fill an appropriate value for this cell based on the table context"")"),"Purple United Kids Boys Light Blue Wide Leg Baggy Denim Jeans with Relaxed Fit and Cotton Fabric Comfort")</f>
        <v/>
      </c>
      <c r="L58" s="49" t="inlineStr">
        <is>
          <t>Purple United Kids Boys Denim Light Blue Wide Leg Baggy Jeans with Relaxed Fit for Everyday Wear</t>
        </is>
      </c>
      <c r="M58" s="51" t="inlineStr">
        <is>
          <t>*RELAXED WIDE LEG BAGGY SILHOUETTE: Designed with a contemporary wide leg silhouette, this Kids Boys Denim delivers a relaxed baggy jeans for boys look. The roomy structure enhances comfort, making it ideal jeans for boys everyday kids wear.
*SOFT YET DURABLE COTTON DENIM: Crafted from high-quality cotton denim, this Kids Boys Denim combines durability with a soft hand feel. The breathable fabric ensures lasting comfort, making these jeans for kids boys suitable for all-day wear.
*COMFORT-DRIVEN STRUCTURED FIT: Featuring a secure waistband with a structured finish, this Kids Boys Denim offers a balanced fit. The relaxed cut supports movement, making these boys jeans perfect for active routines and everyday comfort.
*FUNCTIONAL CLASSIC POCKET DESIGN: Equipped with practical front and back pockets, this Kids Boys Denim enhances everyday usability. The clean pocket construction adds utility while maintaining the refined look of modern boys denim styling.
*VERSATILE EVERYDAY STYLING ESSENTIAL: This Kids Boys Denim pairs effortlessly with t-shirts, shirts, and sneakers, making it a versatile wardrobe staple. Ideal baggy jeans for boys that adapt easily across casual outings and everyday kids wear.</t>
        </is>
      </c>
      <c r="N58" s="48" t="inlineStr">
        <is>
          <t>The Purple United Kids Kids Boys Denim is designed to deliver a perfect blend of comfort, durability, and contemporary style for modern kids wear. Crafted from high-quality cotton denim, these jeans for boys offer a soft yet sturdy feel, ensuring long-lasting wear while maintaining everyday comfort. The breathable fabric makes these jeans for kids boys suitable for extended wear across different activities.
Featuring a relaxed wide leg silhouette, this Kids Boys Denim brings a modern take on classic baggy jeans for boys, offering ease of movement and a comfortable fit. The structured waistband with secure closure ensures a reliable fit, while the clean construction enhances overall wearability.
Functional front and back pockets add practicality, making these boys jeans suitable for daily use. The versatile design allows these blue jeans for boys to pair effortlessly with t-shirts, shirts, and casual footwear.
Ideal for everyday styling, these baggy pants for boys combine comfort and structure, making this Kids Boys Denim a dependable addition to kids wear collections with a focus on durability, comfort, and effortless styling.</t>
        </is>
      </c>
    </row>
    <row r="59">
      <c r="A59" s="42" t="n"/>
      <c r="B59" s="34" t="inlineStr">
        <is>
          <t>PBPOHS002797</t>
        </is>
      </c>
      <c r="C59" s="34" t="inlineStr">
        <is>
          <t>APPAREL</t>
        </is>
      </c>
      <c r="D59" s="34" t="inlineStr">
        <is>
          <t>POLO T-SHIRT</t>
        </is>
      </c>
      <c r="E59" s="34" t="inlineStr">
        <is>
          <t>KIDS BOYS</t>
        </is>
      </c>
      <c r="F59" s="34" t="inlineStr">
        <is>
          <t>YELLOW</t>
        </is>
      </c>
      <c r="G59" s="34" t="inlineStr">
        <is>
          <t>PBPOHS002797-YELLOW</t>
        </is>
      </c>
      <c r="H59" s="49" t="inlineStr">
        <is>
          <t>Purple United Kids Boys Polo Tshirt in Yellow | Cotton Pique Tshirt for Boys | Breathable Summer Wear Soft Fabric with Smart Collar, Casual Fit &amp; Durable Stitching</t>
        </is>
      </c>
      <c r="I59" s="48" t="inlineStr">
        <is>
          <t>Kids Boys Yellow Polo Tshirt</t>
        </is>
      </c>
      <c r="J59" s="49" t="inlineStr">
        <is>
          <t>Kids Yellow Polo Tshirt for Boys Cotton Pique Breathable Summer Casual Relaxed Fit</t>
        </is>
      </c>
      <c r="K59" s="49">
        <f>IFERROR(__xludf.DUMMYFUNCTION("AI(""Fill an appropriate value for this cell based on the table context"")"),"Kids Boys Polo T-Shirt in Yellow with Breathable Cotton Pique, Ribbed Collar &amp; Smart Casual Fit")</f>
        <v/>
      </c>
      <c r="L59" s="49" t="inlineStr">
        <is>
          <t xml:space="preserve">Purple United Kids Yellow Polo Tshirt for Boys Cotton Pique Breathable Summer Casual Relaxed Fit
</t>
        </is>
      </c>
      <c r="M59" s="51" t="inlineStr">
        <is>
          <t>*FABRIC &amp; BREATHABILITY: Crafted from breathable cotton pique, this Kids Boys Polo Tshirt ensures superior airflow and moisture comfort, making it an ideal t shirt for kids boys during summer days and active outdoor play.
*SUMMER COMFORT WEAR: Lightweight construction with soft textured fabric makes this polo t shirt for boys perfect summer wear, offering all-day freshness, ease of movement, and comfort for kids clothes designed for warm weather.
*SMART POLO STYLING: Designed with a structured ribbed collar and button placket, this boys polo tshirt delivers a refined look, making it suitable as both a casual t shirt and a slightly elevated shirt for boys.
*COMFORTABLE FIT &amp; MOVEMENT: Tailored in a smart comfortable fit, this t shirt for boys allows easy flexibility and movement, making it suitable for daily wear, playtime, and versatile kids tshirt styling across different occasions.
*DURABLE &amp; EASY STYLING: This boys t shirt is crafted with durable stitching and shape retention, ensuring long-lasting wear, while pairing effortlessly with jeans, shorts, or trousers for versatile summer-ready kids outfits.</t>
        </is>
      </c>
      <c r="N59" s="48" t="inlineStr">
        <is>
          <t>The Purple United Kids Kids Boys Polo Tshirt is designed to bring together comfort, breathability, and refined everyday style for modern kids clothes. Crafted from high-quality cotton pique, this polo t shirt for boys offers a soft textured feel with excellent airflow, making it an ideal t shirt for kids boys during warm summer days.
Lightweight and breathable, this boys tshirt ensures all-day comfort whether at play or casual outings. The structured collar with button placket adds a polished touch, making it more versatile than a regular t shirt, easily transitioning from relaxed wear to smart casual occasions.
Designed for ease of movement, this tshirt for boys features a comfortable fit that supports active lifestyles. Durable stitching enhances longevity, ensuring this boys t shirt retains its shape and finish after repeated wear.
Perfect for pairing with jeans, shorts, or trousers, this Kids Boys Polo Tshirt is a reliable summer essential, combining style, functionality, and everyday versatility in one elevated piece.</t>
        </is>
      </c>
    </row>
    <row r="60">
      <c r="A60" s="42" t="n"/>
      <c r="B60" s="34" t="inlineStr">
        <is>
          <t>PBDNJA001962</t>
        </is>
      </c>
      <c r="C60" s="34" t="inlineStr">
        <is>
          <t>APPAREL</t>
        </is>
      </c>
      <c r="D60" s="34" t="inlineStr">
        <is>
          <t>DENIM</t>
        </is>
      </c>
      <c r="E60" s="34" t="inlineStr">
        <is>
          <t>KIDS BOYS</t>
        </is>
      </c>
      <c r="F60" s="34" t="inlineStr">
        <is>
          <t>Brown</t>
        </is>
      </c>
      <c r="G60" s="34" t="inlineStr">
        <is>
          <t>PBDNJA001962-Brown</t>
        </is>
      </c>
      <c r="H60" s="49" t="inlineStr">
        <is>
          <t>Purple United Kids Boys Denim Brown Straight Fit Baggy Jeans with Utility Pocket Design | Finest Washed Finish | Comfortable Fit for Everyday Kids Wear</t>
        </is>
      </c>
      <c r="I60" s="48" t="inlineStr">
        <is>
          <t>Kids Boys Denim Jeans</t>
        </is>
      </c>
      <c r="J60" s="49" t="inlineStr">
        <is>
          <t>Kids Boys Denim Brown Straight Fit Baggy Jeans with Utility Pockets &amp; Washed Finish</t>
        </is>
      </c>
      <c r="K60" s="49">
        <f>IFERROR(__xludf.DUMMYFUNCTION("AI(""Fill an appropriate value for this cell based on the table context"")"),"Purple United Kids Boys Brown Straight Fit Baggy Denim Jeans with Utility Pockets &amp; Washed Finish")</f>
        <v/>
      </c>
      <c r="L60" s="49" t="inlineStr">
        <is>
          <t>Purple United Kids Boys Denim Brown Straight Fit Baggy Jeans with Utility Pockets &amp; Washed Finish</t>
        </is>
      </c>
      <c r="M60" s="51" t="inlineStr">
        <is>
          <t>*SUMMER-READY BREATHABLE DENIM: Crafted in premium Kids Boys Denim, these boys jeans feature breathable, lightweight fabric with a soft washed finish, making them ideal jeans for kids boys during summer for all-day comfort and ease.
*MODERN STRAIGHT FIT WITH BAGGY EASE: Designed as straight fit jeans for boys with a relaxed silhouette, these baggy jeans for boys deliver a stylish yet functional fit, perfect for active lifestyles and elevated everyday kids wear looks.
*ELEVATED BROWN OVER BASICS: A refined alternative to blue jeans for boys or black jeans for boys, this rich brown tone enhances versatility, offering a premium wardrobe essential that pairs effortlessly with modern summer styling.
*TREND-FORWARD BAGGY APPEAL: Inspired by global trends, these boys baggy jeans double as baggy jeans for teenage boys, delivering a contemporary edge while maintaining comfort, flexibility, and movement for active kids.
*EVERYDAY VERSATILITY &amp; STYLE: These jeans for kids boys transition seamlessly from casual play to outings, making them an essential part of premium kids wear, combining fashion, function, and long-lasting performance in one design.</t>
        </is>
      </c>
      <c r="N60" s="48" t="inlineStr">
        <is>
          <t>Upgrade everyday dressing with Purple United Kids Boys Denim, thoughtfully designed to deliver the perfect balance of style, comfort, and functionality. These premium boys jeans are crafted from breathable, lightweight fabric with a soft washed finish, making them ideal jeans for kids boys for summer and all-day wear. Designed in a modern straight fit jeans for boys silhouette with a relaxed edge, they also work as stylish baggy jeans for boys and comfortable baggy pants for boys, ensuring ease of movement for active lifestyles.
The utility-inspired pocket detailing enhances both style and practicality, making these jeans for kids a versatile essential for everyday kids wear. The refined brown tone offers a premium alternative to classic blue jeans for boys and black jeans for boys, adding depth to seasonal styling. Perfect as boys baggy jeans and baggy jeans for kids, these denims combine durability with elevated design.
Built for comfort and long-lasting wear, these jeans for kids boys reflect Purple United’s philosophy of fun, fashion, and functionality, making them a must-have wardrobe staple.</t>
        </is>
      </c>
    </row>
    <row r="61">
      <c r="A61" s="42" t="n"/>
      <c r="B61" s="34" t="inlineStr">
        <is>
          <t>PBDNJA002999</t>
        </is>
      </c>
      <c r="C61" s="34" t="inlineStr">
        <is>
          <t>APPAREL</t>
        </is>
      </c>
      <c r="D61" s="34" t="inlineStr">
        <is>
          <t>DENIM</t>
        </is>
      </c>
      <c r="E61" s="34" t="inlineStr">
        <is>
          <t>KIDS BOYS</t>
        </is>
      </c>
      <c r="F61" s="34" t="inlineStr">
        <is>
          <t>DK. BLUE</t>
        </is>
      </c>
      <c r="G61" s="34" t="inlineStr">
        <is>
          <t>PBDNJA002999-DK. BLUE</t>
        </is>
      </c>
      <c r="H61" s="49" t="inlineStr">
        <is>
          <t>Purple United Kids Boys Denim Dark Blue Straight Fit Baggy Jeans with Premium Washed Finish | Durable Stitching &amp; Everyday Comfort | Stylish Blue Jeans for Boys &amp; Modern Kids Wear</t>
        </is>
      </c>
      <c r="I61" s="48" t="inlineStr">
        <is>
          <t>Blue Kids Boys Denim Jeans</t>
        </is>
      </c>
      <c r="J61" s="49" t="inlineStr">
        <is>
          <t>Kids Boys Denim Dark Blue Relaxed Straight Fit Jeans with Soft Wash &amp; All-Day Comfort</t>
        </is>
      </c>
      <c r="K61" s="49">
        <f>IFERROR(__xludf.DUMMYFUNCTION("AI(""Fill an appropriate value for this cell based on the table context"")"),"Kids Boys Denim Dark Blue Relaxed Straight Fit Jeans with Soft Wash &amp; All-Day Comfort")</f>
        <v/>
      </c>
      <c r="L61" s="49" t="inlineStr">
        <is>
          <t>Purple United Kids Boys Denim Dark Blue Relaxed Straight Fit Jeans with Soft Wash &amp; All-Day Comfort</t>
        </is>
      </c>
      <c r="M61" s="51" t="inlineStr">
        <is>
          <t>*BREATHABLE SUMMER-READY DENIM: Crafted in premium Kids Boys Denim, these boys jeans feature breathable fabric and a soft washed finish, making them ideal jeans for kids boys for summer comfort and all-day wear.
*MODERN STRAIGHT FIT SILHOUETTE: Designed as straight fit jeans for boys, these versatile baggy jeans for boys offer a relaxed yet structured fit, combining comfort with a contemporary look perfect for everyday kids wear styling.
*CLASSIC DARK BLUE APPEAL: A timeless choice among blue jeans for boys, the deep indigo tone with subtle fading delivers a premium finish, elevating everyday outfits beyond basic boys jeans styling.
*REINFORCED STITCHING &amp; FINISH: Detailed with strong stitching and clean construction, these jeans for boys provide enhanced durability while maintaining a refined look, setting them apart in premium jeans for kids categories.
*VERSATILE EVERYDAY STYLING: These jeans for kids boys transition effortlessly from casual outings to daily wear, making them an essential addition to premium kids wear wardrobes with both style and practicality.</t>
        </is>
      </c>
      <c r="N61" s="48" t="inlineStr">
        <is>
          <t>Upgrade everyday essentials with Purple United Kids Boys Denim, designed for modern kids who value both comfort and style. These premium boys jeans feature a rich dark blue tone with a refined washed finish, making them a timeless choice among blue jeans for boys. Crafted from breathable, durable fabric, these jeans for kids boys ensure all-day comfort, especially during active summer days.
Designed in a contemporary straight fit jeans for boys silhouette, they offer a relaxed structure that also works as stylish baggy jeans for boys and comfortable baggy pants for boys, allowing unrestricted movement. The clean design with subtle fading and strong stitching enhances durability while maintaining a premium finish, making them reliable jeans for kids.
Perfect as boys baggy jeans and versatile baggy jeans for kids, these denims easily transition from casual play to outings. Built with Purple United’s philosophy of fun, fashion, and functionality, they redefine everyday kids wear with elevated design and lasting comfort.</t>
        </is>
      </c>
    </row>
    <row r="62">
      <c r="A62" s="42" t="n"/>
      <c r="B62" s="34" t="inlineStr">
        <is>
          <t>PGDNJA001964</t>
        </is>
      </c>
      <c r="C62" s="34" t="inlineStr">
        <is>
          <t>APPAREL</t>
        </is>
      </c>
      <c r="D62" s="34" t="inlineStr">
        <is>
          <t>DENIM</t>
        </is>
      </c>
      <c r="E62" s="34" t="inlineStr">
        <is>
          <t>KIDS GIRLS</t>
        </is>
      </c>
      <c r="F62" s="34" t="inlineStr">
        <is>
          <t>DK. BLUE</t>
        </is>
      </c>
      <c r="G62" s="34" t="inlineStr">
        <is>
          <t>PGDNJA001964-DK. BLUE</t>
        </is>
      </c>
      <c r="H62" s="49" t="inlineStr">
        <is>
          <t>Purple United Kids Girls Denim Dark Blue High Waist Wide Leg Baggy Jeans with Finest Washed Finish | Soft Feel Fabric &amp; Relaxed Fit | Stylish Girls Jeans for Everyday Kids Wear</t>
        </is>
      </c>
      <c r="I62" s="48" t="inlineStr">
        <is>
          <t>Blue Kids Girls Denim Jeans</t>
        </is>
      </c>
      <c r="J62" s="49" t="inlineStr">
        <is>
          <t>Kids Girls Denim Dark Blue High Waist Wide Leg Jeans with Soft Feel &amp; Easy Comfort</t>
        </is>
      </c>
      <c r="K62" s="49">
        <f>IFERROR(__xludf.DUMMYFUNCTION("AI(""Fill an appropriate value for this cell based on the table context"")"),"I'm still learning and can't help with that. Do you need help with anything else?")</f>
        <v/>
      </c>
      <c r="L62" s="49" t="inlineStr">
        <is>
          <t>Purple United Kids Girls Denim Dark Blue High Waist Wide Leg Jeans with Soft Feel &amp; Easy Comfort</t>
        </is>
      </c>
      <c r="M62" s="51" t="inlineStr">
        <is>
          <t>*TREND-DRIVEN WIDE LEG SILHOUETTE: Designed as wide leg jeans for girls, these girls jeans offer a relaxed yet stylish fit, combining the comfort of baggy jeans for girls with a fashion-forward, modern silhouette.
*SOFT, BREATHABLE COMFORT: Crafted in high-quality Kids Girls Denim, these jeans for kids girls provide a soft touch and breathable feel, ensuring comfort throughout the day in all seasons.
*FLATTERING HIGH WAIST FIT: The structured high waist jeans design offers a secure and comfortable fit, enhancing ease of movement while maintaining a polished look in these premium girls jeans.
*DURABLE &amp; THOUGHTFUL STITCHING: Strong stitching and quality finishing ensure long-lasting wear, making these jeans for girls reliable for daily use while maintaining their premium look and feel.
*VERSATILE EVERYDAY STYLING: Perfect as both pants for girls and fashion-forward jeans girls, this piece pairs effortlessly with tops and sneakers, making it a must-have in modern kids wear wardrobes.</t>
        </is>
      </c>
      <c r="N62" s="48" t="inlineStr">
        <is>
          <t>Step into effortless style with Purple United Kids Girls Denim, designed for young trendsetters who love comfort with a fashion-forward edge. These premium girls jeans feature a rich dark blue washed finish with subtle distressed detailing, giving them a modern stylish jeans appeal inspired by global trends.
Crafted from soft, breathable fabric, these jeans for kids girls ensure all-day comfort, making them ideal for both active days and relaxed outings. The high waist jeans design offers a secure and flattering fit, while the relaxed silhouette transitions into wide leg jeans for girls, combining the ease of baggy jeans for girls with elevated styling.
Perfect as girls baggy jeans and versatile baggy pants for girls, this piece reflects a contemporary jeans aesthetic while maintaining durability and premium craftsmanship. A standout among blue slim fit jeans alternatives, these denims redefine everyday pants for girls with a balance of comfort, movement, and style.
Designed for modern kids wear, these jeans for girls bring together Purple United’s promise of fun, fashion, and functionality in every detail.</t>
        </is>
      </c>
    </row>
    <row r="63">
      <c r="A63" s="42" t="n"/>
      <c r="B63" s="34" t="inlineStr">
        <is>
          <t>PGDNJA002012.</t>
        </is>
      </c>
      <c r="C63" s="34" t="inlineStr">
        <is>
          <t>APPAREL</t>
        </is>
      </c>
      <c r="D63" s="34" t="inlineStr">
        <is>
          <t>JEANS</t>
        </is>
      </c>
      <c r="E63" s="34" t="inlineStr">
        <is>
          <t>KIDS GIRLS</t>
        </is>
      </c>
      <c r="F63" s="34" t="inlineStr">
        <is>
          <t>LT.BLUE</t>
        </is>
      </c>
      <c r="G63" s="34" t="inlineStr">
        <is>
          <t>PGDNJA002012.-LT.BLUE</t>
        </is>
      </c>
      <c r="H63" s="49" t="inlineStr">
        <is>
          <t>Purple United Kids Girls Denim Light Blue Wide Leg Cargo Jeans with Utility Pocket Design | Soft Washed Fabric | Relaxed Fit &amp; Everyday Comfort | Stylish Girls Jeans for Modern Kids Wear</t>
        </is>
      </c>
      <c r="I63" s="48" t="inlineStr">
        <is>
          <t>Kids Girls Denim Jeans</t>
        </is>
      </c>
      <c r="J63" s="35" t="inlineStr">
        <is>
          <t>Kids Girls Denim Light Blue Wide Leg Cargo Jeans with Soft Feel &amp; Utility Pockets</t>
        </is>
      </c>
      <c r="K63" s="48">
        <f>IFERROR(__xludf.DUMMYFUNCTION("AI(""Fill an appropriate value for this cell based on the table context"")"),"Kids Girls Wide Leg Cargo Jeans in Light Blue with Soft Feel &amp; Utility Pockets")</f>
        <v/>
      </c>
      <c r="L63" s="49" t="inlineStr">
        <is>
          <t>Purple United Kids Girls Denim Light Blue Wide Leg Cargo Jeans with Soft Feel &amp; Utility Pockets</t>
        </is>
      </c>
      <c r="M63" s="51" t="inlineStr">
        <is>
          <t>*EASY WIDE LEG COMFORT FIT: Designed as wide leg jeans for girls, these offer a relaxed and airy fit, combining the comfort of baggy jeans for girls with a neat, structured fall.
*SMART CARGO-INSPIRED UTILITY: With functional side pockets inspired by cargo jeans for girls, these pants for girls add everyday convenience while enhancing the overall stylish denim look.
*SOFT &amp; BREATHABLE FEEL: Crafted in premium Kids Girls Denim, these jeans for kids girls are lightweight, breathable, and gentle on skin, perfect for all-day comfort and active wear.
*FREEDOM TO MOVE, PLAY &amp; EXPLORE: These girls baggy jeans are designed to move with ease, offering flexibility and comfort, making them ideal baggy pants for girls for daily activities.
*VERSATILE WARDROBE ESSENTIAL: From casual outings to daily wear, these jeans for girls pair effortlessly with tops and sneakers, making them a go-to option in modern kids wear.</t>
        </is>
      </c>
      <c r="N63" s="48" t="inlineStr">
        <is>
          <t>Refresh everyday style with Purple United Kids Girls Denim, thoughtfully designed for comfort, movement, and a trend-forward look. These premium girls jeans feature a light blue washed finish that gives a fresh, easy-going vibe, perfect for daily wear.
Crafted in soft, breathable fabric, these jeans for kids girls feel gentle on the skin and stay comfortable through long, active days. The relaxed silhouette flows into wide leg jeans for girls, giving the ease of baggy jeans for girls while maintaining a clean, stylish shape.
The highlight of this design is its functional edge, smartly placed utility pockets inspired by cargo jeans for girls, making them both stylish and practical. The structured waistband and durable stitching ensure a secure fit, while allowing free movement.
Perfect as girls baggy jeans and versatile baggy pants for girls, this piece blends fashion with function. Inspired by modern jeans trends, these denims bring effortless style to everyday pants for girls, making them a must-have in premium kids wear collections.</t>
        </is>
      </c>
    </row>
    <row r="64">
      <c r="A64" s="42" t="n"/>
      <c r="B64" s="34" t="inlineStr">
        <is>
          <t>PGDNJA002012</t>
        </is>
      </c>
      <c r="C64" s="34" t="inlineStr">
        <is>
          <t>APPAREL</t>
        </is>
      </c>
      <c r="D64" s="34" t="inlineStr">
        <is>
          <t>JEANS</t>
        </is>
      </c>
      <c r="E64" s="34" t="inlineStr">
        <is>
          <t>KIDS GIRLS</t>
        </is>
      </c>
      <c r="F64" s="34" t="inlineStr">
        <is>
          <t>BLUE</t>
        </is>
      </c>
      <c r="G64" s="34" t="inlineStr">
        <is>
          <t>PGDNJA002012-BLUE</t>
        </is>
      </c>
      <c r="H64" s="49" t="inlineStr">
        <is>
          <t>Purple United Kids Girls Denim Blue Wide Leg Cargo Jeans with Utility Pocket Detailing &amp; Structured Fit | Finest Dark Wash &amp; All-Day Comfort | Stylish Girls Jeans for Modern Kids Wear</t>
        </is>
      </c>
      <c r="I64" s="48" t="inlineStr">
        <is>
          <t>Blue Kids Girls Denim Jeans</t>
        </is>
      </c>
      <c r="J64" s="49" t="inlineStr">
        <is>
          <t>Kids Girls Denim Blue Wide Leg Cargo Jeans with Structured Fit &amp; Utility Pockets</t>
        </is>
      </c>
      <c r="K64" s="49">
        <f>IFERROR(__xludf.DUMMYFUNCTION("AI(""Fill an appropriate value for this cell based on the table context"")"),"Purple United Kids Girls Blue Denim Wide Leg Cargo Jeans with Utility Pockets and Structured Fit")</f>
        <v/>
      </c>
      <c r="L64" s="49" t="inlineStr">
        <is>
          <t>Purple United Kids Girls Denim Blue Wide Leg Cargo Jeans with Structured Fit &amp; Utility Pockets</t>
        </is>
      </c>
      <c r="M64" s="51" t="inlineStr">
        <is>
          <t>*STRUCTURED WIDE LEG FIT: Designed as wide leg jeans for girls, these offer a relaxed yet well-shaped fit, blending the comfort of baggy jeans for girls with a clean silhouette.
*UTILITY-INSPIRED CARGO DETAILS: Functional pockets inspired by cargo jeans for girls add a stylish and practical edge, making these pants for girls both fashionable and useful.
*COMFORTABLE YET DURABLE FABRIC: Made with premium Kids Girls Denim, these jeans for kids girls provide a balanced feel, strong enough for daily wear yet comfortable for long hours.
*EASY MOVEMENT, EVERYDAY COMFORT: These girls baggy jeans are designed for flexibility, allowing free movement and making them ideal baggy pants for girls for active routines.
*VERSATILE STYLING ESSENTIAL: Perfect as go-to pants for girls, these jeans for girls pair effortlessly with casual tops and sneakers, making them ideal for everyday kids wear.</t>
        </is>
      </c>
      <c r="N64" s="48" t="inlineStr">
        <is>
          <t>Elevate everyday dressing with Purple United Kids Girls Denim, crafted for young trendsetters who value both comfort and confident style. These premium girls jeans come in a rich deep blue tone, offering a refined and versatile look that stands out in modern wardrobes.
Designed in a relaxed silhouette, these wide leg jeans for girls deliver the comfort of baggy jeans for girls while maintaining a structured, polished fall. The fabric feels sturdy yet comfortable, making these jeans for kids girls perfect for all-day wear.
Inspired by utility fashion, these denims feature functional pockets influenced by cargo jeans for girls, adding both style and everyday practicality. The clean finish with contrast stitching enhances durability and gives a premium edge to these stylish jeans.
Perfect as girls baggy jeans and versatile baggy pants for girls, this piece reflects a modern jeans influence while staying timeless. A must-have in premium pants for girls, these denims embody Purple United’s promise of fun, fashion, and functionality.</t>
        </is>
      </c>
    </row>
    <row r="65">
      <c r="A65" s="42" t="n"/>
      <c r="B65" s="34" t="inlineStr">
        <is>
          <t>TGBAFS003328</t>
        </is>
      </c>
      <c r="C65" s="34" t="inlineStr">
        <is>
          <t>FOOTWEAR</t>
        </is>
      </c>
      <c r="D65" s="34" t="inlineStr">
        <is>
          <t>BALLERINAS</t>
        </is>
      </c>
      <c r="E65" s="34" t="inlineStr">
        <is>
          <t>GIRLS</t>
        </is>
      </c>
      <c r="F65" s="34" t="inlineStr">
        <is>
          <t>ROSE GOLD</t>
        </is>
      </c>
      <c r="G65" s="34" t="inlineStr">
        <is>
          <t>TGBAFS003328-ROSE GOLD</t>
        </is>
      </c>
      <c r="H65" s="49" t="inlineStr">
        <is>
          <t>Toothless Kids Girls Ballerinas Rose Gold with Elegant Bow Detail | Soft Cushioned Insole | Flexible Sole &amp; Secure Comfort Fit | Stylish Ballerina Ballet Flats for Girls</t>
        </is>
      </c>
      <c r="I65" s="48" t="inlineStr">
        <is>
          <t>Rose Gold Girls Ballerinas</t>
        </is>
      </c>
      <c r="J65" s="49" t="inlineStr">
        <is>
          <t>Kids Girls Ballerinas Rose Gold Bow Detail &amp; Cushioned Comfort Fit Ballet Flats</t>
        </is>
      </c>
      <c r="K65" s="49">
        <f>IFERROR(__xludf.DUMMYFUNCTION("AI(""Fill an appropriate value for this cell based on the table context"")"),"Toothless Kids Girls Ballerinas in Rose Gold with Bow Detail, Cushioned Insole &amp; Flexible Comfort Sole")</f>
        <v/>
      </c>
      <c r="L65" s="49" t="inlineStr">
        <is>
          <t>Toothless Kids Girls Ballerinas Rose Gold Bow Detail &amp; Cushioned Comfort Fit Ballet Flats</t>
        </is>
      </c>
      <c r="M65" s="51" t="inlineStr">
        <is>
          <t>*SIGNATURE BOW DETAIL: A beautifully crafted bow enhances the look of these ballerina shoes for girls, adding charm and a refined finish to these elegant bellies for girls, making them stylish and eye-catching.
*SOFT CUSHIONED COMFORT: Designed with a smooth inner lining and cushioned footbed, these ballerinas for girls ensure lasting comfort, making them ideal flats for girls for all-day wear across multiple occasions.
*FLEXIBLE &amp; EASY MOVEMENT: The lightweight, flexible sole supports natural movement, making these ballet flats girls perfect for active routines, daily wear, and comfortable walking without restricting movement or flexibility.
*DURABLE &amp; THOUGHTFUL BUILD: Crafted with attention to detail, these kids footwear for girls offer durability and a secure fit, ensuring reliability for everyday use while maintaining a neat, premium finish.
*PERFECT FOR EVERY OCCASION: From casual outings to celebrations, these ballerinas for kids girls are designed to complement multiple looks effortlessly, adding elegance and versatility to modern kids footwear wardrobes.</t>
        </is>
      </c>
      <c r="N65" s="48" t="inlineStr">
        <is>
          <t>Add a touch of shine to everyday styling with Toothless Ballerinas, designed to blend elegance with all-day comfort. These premium ballerina shoes for girls come in a soft color finish, offering a subtle shimmer that elevates both casual and occasion looks.
Crafted for comfort, these ballerinas for girls feature a smooth inner lining and cushioned footbed, ensuring a gentle feel with every step. The flexible sole supports natural movement, making them ideal flats for girls for daily wear, outings, and special moments.
The standout bow detail on the front adds a refined, playful charm, making these bellies for girls both stylish and easy to pair with dresses, denims, or party outfits. Designed with a secure fit and durable construction, these kids footwear for girls provide long-lasting comfort without compromising on style.
Perfect as ballet flats girls and versatile ballerinas for kids girls, this pair reflects Purple United’s commitment to modern design, comfort, and premium quality in everyday kids girls footwear.</t>
        </is>
      </c>
    </row>
    <row r="66">
      <c r="A66" s="42" t="n"/>
      <c r="B66" s="34" t="inlineStr">
        <is>
          <t>TGBAFW000852</t>
        </is>
      </c>
      <c r="C66" s="34" t="inlineStr">
        <is>
          <t>FOOTWEAR</t>
        </is>
      </c>
      <c r="D66" s="34" t="inlineStr">
        <is>
          <t>BALLERINAS</t>
        </is>
      </c>
      <c r="E66" s="34" t="inlineStr">
        <is>
          <t>GIRLS</t>
        </is>
      </c>
      <c r="F66" s="34" t="inlineStr">
        <is>
          <t>SILVER</t>
        </is>
      </c>
      <c r="G66" s="34" t="inlineStr">
        <is>
          <t>TGBAFW000852-SILVER</t>
        </is>
      </c>
      <c r="H66" s="49" t="inlineStr">
        <is>
          <t>Toothless Kids Girls Ballerinas Silver with Elegant Bow Detail | Soft Cushioned Insole | Flexible Sole &amp; Secure Comfort Fit | Stylish Ballerina Ballet Flats for Girls</t>
        </is>
      </c>
      <c r="I66" s="48" t="inlineStr">
        <is>
          <t>Kids Silver Girls Ballerinas</t>
        </is>
      </c>
      <c r="J66" s="49" t="inlineStr">
        <is>
          <t>Kids Girls Ballerinas Silver Bow Detail &amp; Cushioned Comfort Fit Ballet Flats</t>
        </is>
      </c>
      <c r="K66" s="49">
        <f>IFERROR(__xludf.DUMMYFUNCTION("AI(""Fill an appropriate value for this cell based on the table context"")"),"Toothless Kids Girls Ballerinas in Silver with Elegant Bow Detail, Cushioned Insole &amp; Flexible Comfort Sole")</f>
        <v/>
      </c>
      <c r="L66" s="49" t="inlineStr">
        <is>
          <t>Toothless Kids Girls Ballerinas Silver Bow Detail &amp; Cushioned Comfort Fit Ballet Flats</t>
        </is>
      </c>
      <c r="M66" s="51" t="inlineStr">
        <is>
          <t>*SIGNATURE BOW DETAIL: A beautifully crafted bow enhances the look of these ballerina shoes for girls, adding charm and a refined finish to these elegant bellies for girls, making them stylish and eye-catching.
*SOFT CUSHIONED COMFORT: Designed with a smooth inner lining and cushioned footbed, these ballerinas for girls ensure lasting comfort, making them ideal flats for girls for all-day wear across multiple occasions.
*FLEXIBLE &amp; EASY MOVEMENT: The lightweight, flexible sole supports natural movement, making these ballet flats girls perfect for active routines, daily wear, and comfortable walking without restricting movement or flexibility.
*DURABLE &amp; THOUGHTFUL BUILD: Crafted with attention to detail, these kids footwear for girls offer durability and a secure fit, ensuring reliability for everyday use while maintaining a neat, premium finish.
*PERFECT FOR EVERY OCCASION: From casual outings to celebrations, these ballerinas for kids girls are designed to complement multiple looks effortlessly, adding elegance and versatility to modern kids footwear wardrobes.</t>
        </is>
      </c>
      <c r="N66" s="48" t="inlineStr">
        <is>
          <t>Add a touch of shine to everyday styling with Tooothless Girls Ballerinas, designed to blend elegance with all-day comfort. These premium ballerina shoes for girls come in a soft color finish, offering a subtle shimmer that elevates both casual and occasion looks.
Crafted for comfort, these ballerinas for girls feature a smooth inner lining and cushioned footbed, ensuring a gentle feel with every step. The flexible sole supports natural movement, making them ideal flats for girls for daily wear, outings, and special moments.
The standout bow detail on the front adds a refined, playful charm, making these bellies for girls both stylish and easy to pair with dresses, denims, or party outfits. Designed with a secure fit and durable construction, these kids footwear for girls provide long-lasting comfort without compromising on style.
Perfect as ballet flats girls and versatile ballerinas for kids girls, this pair reflects Purple United’s commitment to modern design, comfort, and premium quality in everyday kids girls footwear.</t>
        </is>
      </c>
    </row>
    <row r="67">
      <c r="A67" s="42" t="n"/>
      <c r="B67" s="34" t="inlineStr">
        <is>
          <t>TGSAFS003062</t>
        </is>
      </c>
      <c r="C67" s="34" t="inlineStr">
        <is>
          <t>FOOTWEAR</t>
        </is>
      </c>
      <c r="D67" s="34" t="inlineStr">
        <is>
          <t>SANDALS</t>
        </is>
      </c>
      <c r="E67" s="34" t="inlineStr">
        <is>
          <t>KIDS GIRLS</t>
        </is>
      </c>
      <c r="F67" s="34" t="inlineStr">
        <is>
          <t>SILVER</t>
        </is>
      </c>
      <c r="G67" s="34" t="inlineStr">
        <is>
          <t>TGSAFS003062-Silver</t>
        </is>
      </c>
      <c r="H67" s="49" t="inlineStr">
        <is>
          <t xml:space="preserve">Toothless Kids Girls Sandals with Floral Design, Soft Cushioned Footbed, Lightweight Feel &amp; Adjustable Strap for Easy Fit | Stylish and Comfortable Everyday Wear Sandals for Girls </t>
        </is>
      </c>
      <c r="I67" s="48" t="inlineStr">
        <is>
          <t>Kids Silver Girls Sandals</t>
        </is>
      </c>
      <c r="J67" s="49" t="inlineStr">
        <is>
          <t>Kids Silver Floral Detail Girls Sandals with Soft Cushion Comfort &amp; Adjustable Strap Fit</t>
        </is>
      </c>
      <c r="K67" s="49">
        <f>IFERROR(__xludf.DUMMYFUNCTION("AI(""Fill an appropriate value for this cell based on the table context"")"),"Toothless Kids Silver Floral Detail Girls Sandals with Soft Cushion Comfort and Adjustable Strap Fit")</f>
        <v/>
      </c>
      <c r="L67" s="49" t="inlineStr">
        <is>
          <t>Toothless Kids Silver Floral Detail Girls Sandals with Soft Cushion Comfort &amp; Adjustable Strap Fit</t>
        </is>
      </c>
      <c r="M67" s="51" t="inlineStr">
        <is>
          <t>*ELEGANT METALLIC SHINE: The refined finish adds a soft, premium glow to these kids girls sandals, making them perfect for both everyday outings and special occasions while enhancing overall style with a modern look.
*SOFT CUSHION COMFORT FEEL: Designed with a gently cushioned footbed, these kids sandals for girls provide a soft, supportive feel, ensuring long-lasting comfort and ease, making them reliable girls sandals for all-day wear.
*ADJUSTABLE EASY FIT: Featuring a secure adjustable strap, these sandals for girls offer a snug yet comfortable fit, making them easy to wear and remove while ensuring stability during movement and daily activities.
*STRONG &amp; RELIABLE BUILD: Crafted with durable materials and neat finishing, these kids sandals are made for everyday use, maintaining their shape, comfort, and premium appearance even with regular wear.
*EFFORTLESS EVERYDAY STYLING: These girls sandals online pair easily with dresses, skirts, or casual outfits, making them a versatile choice that blends comfort and style seamlessly into everyday wardrobes.</t>
        </is>
      </c>
      <c r="N67" s="48" t="inlineStr">
        <is>
          <t>Step into effortless style with Toothless by Purple United Kids Girls Sandals, designed to bring together comfort, durability, and modern design. These premium sandals for girls feature a sleek finish that adds a refined shine, making them perfect for both everyday wear and special occasions.
Crafted with a soft cushioned footbed, these kids sandals for girls provide all-day comfort while supporting natural movement. The lightweight sole ensures flexibility, making these girls sandals easy to wear during active days.
The elegant floral embellishment adds a playful yet premium touch, enhancing the overall appeal of these sandals for girls. A secure adjustable back strap ensures a comfortable and customized fit, making them reliable kids sandals for daily wear.
Perfect for pairing with dresses, casual outfits, or festive looks, these girls sandals online combine versatility with style. Designed with Toothless’s focus on comfort and functionality, these sandals for kids deliver a premium footwear experience.</t>
        </is>
      </c>
    </row>
    <row r="68">
      <c r="A68" s="42" t="n"/>
      <c r="B68" s="34" t="inlineStr">
        <is>
          <t>TGSAFS003063</t>
        </is>
      </c>
      <c r="C68" s="34" t="inlineStr">
        <is>
          <t>FOOTWEAR</t>
        </is>
      </c>
      <c r="D68" s="34" t="inlineStr">
        <is>
          <t>SANDALS</t>
        </is>
      </c>
      <c r="E68" s="34" t="inlineStr">
        <is>
          <t>KIDS GIRLS</t>
        </is>
      </c>
      <c r="F68" s="34" t="inlineStr">
        <is>
          <t>Navy</t>
        </is>
      </c>
      <c r="G68" s="34" t="inlineStr">
        <is>
          <t>TGSAFS003063-Navy</t>
        </is>
      </c>
      <c r="H68" s="49" t="inlineStr">
        <is>
          <t>Toothless Kids Girls Sandals with Textured Strap Design | Cushioned Footbed | Adjustable Buckle Closure &amp; Lightweight Sole for Flexible Everyday Comfort and Modern Styling</t>
        </is>
      </c>
      <c r="I68" s="48" t="inlineStr">
        <is>
          <t>Kids Navy Girls Sandals</t>
        </is>
      </c>
      <c r="J68" s="49" t="inlineStr">
        <is>
          <t>Kids Navy Girls Sandals with Adjustable Strap, Soft Sole for Lightweight Comfort Fit</t>
        </is>
      </c>
      <c r="K68" s="49">
        <f>IFERROR(__xludf.DUMMYFUNCTION("AI(""Fill an appropriate value for this cell based on the table context"")"),"Kids Girls Sandals in Navy with Textured Strap, Cushioned Sole &amp; Lightweight Comfort Design")</f>
        <v/>
      </c>
      <c r="L68" s="49" t="inlineStr">
        <is>
          <t>Toothless Kids Navy Girls Sandals with Adjustable Strap, Soft Sole for Lightweight Comfort Fit</t>
        </is>
      </c>
      <c r="M68" s="51" t="inlineStr">
        <is>
          <t>*TEXTURED STRAP DESIGN: Soft textured straps add grip and style, making these sandals for girls feel secure on the feet while enhancing durability and giving a premium, well-crafted look.
*SOFT CUSHION COMFORT: The cushioned footbed provides a gentle and supportive base, ensuring these kids sandals for girls remain comfortable for long hours, perfect for daily wear and active movement.
*ADJUSTABLE SECURE FIT: The adjustable buckle closure allows a snug and customized fit, helping these sandals for girls stay secure while walking, running, or playing comfortably throughout the day.
*BREATHABLE EVERYDAY COMFORT: Open design allows better airflow, helping these kids sandals keep feet cool and comfortable, especially during warm days and extended wear.
*EASY STYLING FOR DAILY WEAR: These girls sandals online pair effortlessly with dresses, jeans, or casual outfits, making them a practical and stylish choice for everyday sandals for girls.</t>
        </is>
      </c>
      <c r="N68" s="48" t="inlineStr">
        <is>
          <t>Experience effortless everyday style with Toothless Kids Girls Sandals, thoughtfully designed to deliver comfort, durability, and a clean modern look. These premium sandals for girls feature a rich tone paired with textured straps, creating a refined yet versatile style suitable for daily wear.
Crafted with a soft cushioned footbed, these kids sandals for girls provide a gentle, supportive feel that keeps feet comfortable throughout the day. The lightweight sole enhances flexibility, making these girls sandals easy to wear during active routines.
The minimal yet stylish strap design offers a secure hold, while the adjustable buckle ensures a personalized fit, making these reliable sandals for kids for everyday use. The breathable construction helps maintain comfort even during long hours of wear.
Perfect for pairing with casual outfits, dresses, or everyday essentials, these girls sandals online combine simplicity with a premium finish. Designed with Toothless’s focus on comfort and functionality, these kids sandals deliver a modern, easy-to-wear footwear experience.</t>
        </is>
      </c>
    </row>
    <row r="69">
      <c r="A69" s="42" t="n"/>
      <c r="B69" s="34" t="inlineStr">
        <is>
          <t>TGSAFS003063</t>
        </is>
      </c>
      <c r="C69" s="34" t="inlineStr">
        <is>
          <t>FOOTWEAR</t>
        </is>
      </c>
      <c r="D69" s="34" t="inlineStr">
        <is>
          <t>SANDALS</t>
        </is>
      </c>
      <c r="E69" s="34" t="inlineStr">
        <is>
          <t>KIDS GIRLS</t>
        </is>
      </c>
      <c r="F69" s="34" t="inlineStr">
        <is>
          <t>White</t>
        </is>
      </c>
      <c r="G69" s="34" t="inlineStr">
        <is>
          <t>TGSAFS003063-White</t>
        </is>
      </c>
      <c r="H69" s="49" t="inlineStr">
        <is>
          <t>Toothless Kids Girls Sandals with Textured Strap Design | Cushioned Footbed | Adjustable Buckle Closure &amp; Lightweight Sole for Flexible Everyday Comfort and Modern Styling</t>
        </is>
      </c>
      <c r="I69" s="48" t="inlineStr">
        <is>
          <t>Kids White Girls Sandals</t>
        </is>
      </c>
      <c r="J69" s="49" t="inlineStr">
        <is>
          <t>Kids White Girls Sandals with Adjustable Strap, Soft Sole for Lightweight Comfort Fit</t>
        </is>
      </c>
      <c r="K69" s="49">
        <f>IFERROR(__xludf.DUMMYFUNCTION("AI(""Fill an appropriate value for this cell based on the table context"")"),"Toothless Kids White Girls Sandals with Textured Strap, Cushioned Footbed &amp; Adjustable Buckle Closure")</f>
        <v/>
      </c>
      <c r="L69" s="49" t="inlineStr">
        <is>
          <t>Toothless Kids White Girls Sandals with Adjustable Strap, Soft Sole for Lightweight Comfort Fit</t>
        </is>
      </c>
      <c r="M69" s="51" t="inlineStr">
        <is>
          <t>*TEXTURED STRAP DESIGN: Soft textured straps add grip and style, making these sandals for girls feel secure on the feet while enhancing durability and giving a premium, well-crafted look.
*SOFT CUSHION COMFORT: The cushioned footbed provides a gentle and supportive base, ensuring these kids sandals for girls remain comfortable for long hours, perfect for daily wear and active movement.
*ADJUSTABLE SECURE FIT: The adjustable buckle closure allows a snug and customized fit, helping these sandals for girls stay secure while walking, running, or playing comfortably throughout the day.
*BREATHABLE EVERYDAY COMFORT: Open design allows better airflow, helping these kids sandals keep feet cool and comfortable, especially during warm days and extended wear.
*EASY STYLING FOR DAILY WEAR: These girls sandals online pair effortlessly with dresses, jeans, or casual outfits, making them a practical and stylish choice for everyday sandals for girls.</t>
        </is>
      </c>
      <c r="N69" s="48" t="inlineStr">
        <is>
          <t>Experience effortless everyday style with Toothless Kids Girls Sandals, thoughtfully designed to deliver comfort, durability, and a clean modern look. These premium sandals for girls feature a rich tone paired with textured straps, creating a refined yet versatile style suitable for daily wear.
Crafted with a soft cushioned footbed, these kids sandals for girls provide a gentle, supportive feel that keeps feet comfortable throughout the day. The lightweight sole enhances flexibility, making these girls sandals easy to wear during active routines.
The minimal yet stylish strap design offers a secure hold, while the adjustable buckle ensures a personalized fit, making these reliable sandals for kids for everyday use. The breathable construction helps maintain comfort even during long hours of wear.
Perfect for pairing with casual outfits, dresses, or everyday essentials, these girls sandals online combine simplicity with a premium finish. Designed with Toothless’s focus on comfort and functionality, these kids sandals deliver a modern, easy-to-wear footwear experience.</t>
        </is>
      </c>
    </row>
    <row r="70">
      <c r="A70" s="42" t="n"/>
      <c r="B70" s="34" t="inlineStr">
        <is>
          <t>TGSAFS003064</t>
        </is>
      </c>
      <c r="C70" s="34" t="inlineStr">
        <is>
          <t>FOOTWEAR</t>
        </is>
      </c>
      <c r="D70" s="34" t="inlineStr">
        <is>
          <t>SANDALS</t>
        </is>
      </c>
      <c r="E70" s="34" t="inlineStr">
        <is>
          <t>KIDS GIRLS</t>
        </is>
      </c>
      <c r="F70" s="34" t="inlineStr">
        <is>
          <t>Black</t>
        </is>
      </c>
      <c r="G70" s="34" t="inlineStr">
        <is>
          <t>TGSAFS003064-Black</t>
        </is>
      </c>
      <c r="H70" s="49" t="inlineStr">
        <is>
          <t>Toothless Kids Sandals for Girls with Floral Embellishment | Easy Wear Strap | Flexible Sole | Lightweight &amp; All-Day Comfort for Active Daily Use</t>
        </is>
      </c>
      <c r="I70" s="48" t="inlineStr">
        <is>
          <t>Kids Black Girls Sandals</t>
        </is>
      </c>
      <c r="J70" s="49" t="inlineStr">
        <is>
          <t xml:space="preserve">Kids Black Floral Strap Girls Sandals with Flexible Sole &amp; Adjustable Fit for Easy Wear 
</t>
        </is>
      </c>
      <c r="K70" s="49">
        <f>IFERROR(__xludf.DUMMYFUNCTION("AI(""Fill an appropriate value for this cell based on the table context"")"),"Kids Girls Black Floral Strap Sandals with Flexible Sole &amp; Lightweight Comfort Design")</f>
        <v/>
      </c>
      <c r="L70" s="49" t="inlineStr">
        <is>
          <t xml:space="preserve">Toothless Kids Black Floral Strap Girls Sandals with Flexible Sole &amp; Adjustable Fit for Easy Wear 
</t>
        </is>
      </c>
      <c r="M70" s="51" t="inlineStr">
        <is>
          <t>*PREMIUM FLORAL EMBELLISHMENT: Detailed floral embellishments add a rich and stylish touch, making these sandals for girls stand out with a unique design that feels festive, elegant, and visually appealing.
*LIGHTWEIGHT &amp; EASY WALK: Designed to feel light on the feet, these sandals for kids allow smooth and easy movement, reducing strain and making them perfect for active days and continuous wear.
*BREATHABLE OPEN DESIGN: The open structure allows airflow, helping these kids sandals keep feet cool and fresh, especially during warmer days and extended hours of use.
*DURABLE &amp; LONG-LASTING BUILD: Crafted with strong materials and neat finishing, these girls sandals online maintain their shape and quality over time, making them a reliable everyday footwear choice.
*EASY STYLING FOR ANY OCCASION: These sandals for girls pair effortlessly with dresses, jeans, or party outfits, making them a versatile addition to any wardrobe and suitable for multiple occasions.</t>
        </is>
      </c>
      <c r="N70" s="48" t="inlineStr">
        <is>
          <t>Step into refined everyday style with Toothless Kids Girls Sandals, crafted to deliver a perfect blend of elegance, comfort, and durability. These premium sandals for girls feature a classic base enhanced with detailed floral embellishments, offering a stylish yet versatile look.
Designed with a soft cushioned footbed, these kids sandals for girls provide gentle support, ensuring comfort during long hours of wear. The lightweight sole allows natural movement, making these girls sandals ideal for active daily routines.
The standout floral detailing adds a rich, premium touch, making these sandals for girls suitable for both casual outings and dressier occasions. An adjustable strap ensures a secure and easy fit, making these reliable sandals for kids for everyday use.
Perfect for pairing with dresses, party outfits, or casual wear, these girls sandals online bring together comfort and fashion. Built with Toothless’s focus on quality and design, these kids sandals elevate everyday footwear.</t>
        </is>
      </c>
    </row>
    <row r="71">
      <c r="A71" s="42" t="n"/>
      <c r="B71" s="34" t="inlineStr">
        <is>
          <t>TGSAFS003064</t>
        </is>
      </c>
      <c r="C71" s="34" t="inlineStr">
        <is>
          <t>FOOTWEAR</t>
        </is>
      </c>
      <c r="D71" s="34" t="inlineStr">
        <is>
          <t>SANDALS</t>
        </is>
      </c>
      <c r="E71" s="34" t="inlineStr">
        <is>
          <t>KIDS GIRLS</t>
        </is>
      </c>
      <c r="F71" s="34" t="inlineStr">
        <is>
          <t>White</t>
        </is>
      </c>
      <c r="G71" s="34" t="inlineStr">
        <is>
          <t>TGSAFS003064-White</t>
        </is>
      </c>
      <c r="H71" s="49" t="inlineStr">
        <is>
          <t>Toothless Kids Sandals for Girls with Floral Embellishment | Easy Wear Strap | Flexible Sole | Lightweight &amp; All-Day Comfort for Active Daily Use</t>
        </is>
      </c>
      <c r="I71" s="48" t="inlineStr">
        <is>
          <t>Kids Floral Girls Sandals</t>
        </is>
      </c>
      <c r="J71" s="49" t="inlineStr">
        <is>
          <t xml:space="preserve">Kids White Floral Strap Girls Sandals with Flexible Sole &amp; Adjustable Fit for Easy Wear </t>
        </is>
      </c>
      <c r="K71" s="49">
        <f>IFERROR(__xludf.DUMMYFUNCTION("AI(""Fill an appropriate value for this cell based on the table context"")"),"Kids Girls White Floral Strap Sandals with Flexible Sole &amp; Adjustable Fit for Easy Wear")</f>
        <v/>
      </c>
      <c r="L71" s="49" t="inlineStr">
        <is>
          <t xml:space="preserve">Toothless Kids White Floral Strap Girls Sandals with Flexible Sole &amp; Adjustable Fit for Easy Wear </t>
        </is>
      </c>
      <c r="M71" s="51" t="inlineStr">
        <is>
          <t>*PREMIUM FLORAL EMBELLISHMENT: Detailed floral embellishments add a rich and stylish touch, making these sandals for girls stand out with a unique design that feels festive, elegant, and visually appealing.
*LIGHTWEIGHT &amp; EASY WALK: Designed to feel light on the feet, these sandals for kids allow smooth and easy movement, reducing strain and making them perfect for active days and continuous wear.
*BREATHABLE OPEN DESIGN: The open structure allows airflow, helping these kids sandals keep feet cool and fresh, especially during warmer days and extended hours of use.
*DURABLE &amp; LONG-LASTING BUILD: Crafted with strong materials and neat finishing, these girls sandals online maintain their shape and quality over time, making them a reliable everyday footwear choice.
*EASY STYLING FOR ANY OCCASION: These sandals for girls pair effortlessly with dresses, jeans, or party outfits, making them a versatile addition to any wardrobe and suitable for multiple occasions.</t>
        </is>
      </c>
      <c r="N71" s="48" t="inlineStr">
        <is>
          <t>Step into refined everyday style with Toothless Kids Girls Sandals, crafted to deliver a perfect blend of elegance, comfort, and durability. These premium sandals for girls feature a classic base enhanced with detailed floral embellishments, offering a stylish yet versatile look.
Designed with a soft cushioned footbed, these kids sandals for girls provide gentle support, ensuring comfort during long hours of wear. The lightweight sole allows natural movement, making these girls sandals ideal for active daily routines.
The standout floral detailing adds a rich, premium touch, making these sandals for girls suitable for both casual outings and dressier occasions. An adjustable strap ensures a secure and easy fit, making these reliable sandals for kids for everyday use.
Perfect for pairing with dresses, party outfits, or casual wear, these girls sandals online bring together comfort and fashion. Built with Toothless’s focus on quality and design, these kids sandals elevate everyday footwear.</t>
        </is>
      </c>
    </row>
    <row r="72">
      <c r="A72" s="42" t="n"/>
      <c r="B72" s="34" t="inlineStr">
        <is>
          <t>PGDNTS003021</t>
        </is>
      </c>
      <c r="C72" s="34" t="inlineStr">
        <is>
          <t>APPAREL</t>
        </is>
      </c>
      <c r="D72" s="34" t="inlineStr">
        <is>
          <t>DENIM</t>
        </is>
      </c>
      <c r="E72" s="34" t="inlineStr">
        <is>
          <t>KIDS GIRLS</t>
        </is>
      </c>
      <c r="F72" s="34" t="inlineStr">
        <is>
          <t>MID BLUE</t>
        </is>
      </c>
      <c r="G72" s="34" t="inlineStr">
        <is>
          <t>PGDNTS003021-MID BLUE</t>
        </is>
      </c>
      <c r="H72" s="49" t="inlineStr">
        <is>
          <t>Purple United Kids Girls Top | Mid Blue Denim Sleeveless Design | Ruffle Tie-Up Front | Soft Summer Fabric | Breathable Comfortable Fit | Stylish Tops For Girls | Flowy Relaxed Fit for Active Wear</t>
        </is>
      </c>
      <c r="I72" s="48" t="inlineStr">
        <is>
          <t>Girls Ruffle Denim Tie-Up Top</t>
        </is>
      </c>
      <c r="J72" s="49" t="inlineStr">
        <is>
          <t>Top For Girls in Blue Denim with Ruffle Tie-Up Front, Soft Fabric &amp; Sleeveless Summer Fit</t>
        </is>
      </c>
      <c r="K72" s="49">
        <f>IFERROR(__xludf.DUMMYFUNCTION("AI(""Fill an appropriate value for this cell based on the table context"")"),"Kids Girls Top in Mid Blue with Ruffle Tie-Up Front, Soft Fabric &amp; Sleeveless Summer Design")</f>
        <v/>
      </c>
      <c r="L72" s="49" t="inlineStr">
        <is>
          <t>Purple United Kids Top For Girls in Blue Denim with Ruffle Tie-Up Front, Soft Fabric for Summer Wear</t>
        </is>
      </c>
      <c r="M72" s="51" t="inlineStr">
        <is>
          <t>*RUFFLE LAYERED DESIGN: Soft tiered ruffle layers create a playful and stylish look, adding volume and movement to this kids girls top. The layered construction enhances the denim texture while giving a charming summer-ready appearance.
*FRONT TIE-UP DETAIL: Delicate front tie-up accents add a unique and fashionable touch. The adjustable ties enhance styling while making this top for girls look more refined, playful, and visually appealing.
*SOFT LIGHTWEIGHT DENIM: Crafted in lightweight summer-friendly denim, this girls top feels soft and breathable. The fabric stays comfortable for long hours, making it ideal kids summer wear for girls.
*SLEEVELESS SUMMER FIT: The sleeveless design keeps this kids girls top airy and easy to wear. It allows better movement and helps maintain comfort during warm weather and active days.
*EASY EVERYDAY STYLING: This beautiful top for girls kids pairs effortlessly with jeans, shorts, and skirts. A versatile girls denim top suitable for casual outings, summer wear, and everyday styling.</t>
        </is>
      </c>
      <c r="N72" s="48" t="inlineStr">
        <is>
          <t>This Kids Girls Top from Purple United Kids blends playful styling with summer-ready denim comfort. Designed in a mid blue shade, this girls denim top features layered ruffle detailing that adds volume and movement while keeping the look refined and stylish. The front tie-up accents enhance the design with a charming touch, making this top for girls visually appealing and unique.
Crafted in soft lightweight denim, the fabric feels smooth, breathable, and comfortable for warm weather. The sleeveless silhouette keeps this kids girls top airy and easy to wear, while the relaxed flared fit allows natural movement throughout the day. Thoughtfully designed, the structure offers a neat fall that enhances the overall silhouette.
This stylish top for girls pairs effortlessly with jeans, shorts, and skirts, making it ideal kids summer wear for girls. Perfect for outings, casual wear, and everyday styling, this girls denim top brings comfort, versatility, and playful charm to any wardrobe.</t>
        </is>
      </c>
    </row>
    <row r="73">
      <c r="A73" s="42" t="n"/>
      <c r="B73" s="34" t="inlineStr">
        <is>
          <t>PGDNJA002015</t>
        </is>
      </c>
      <c r="C73" s="34" t="inlineStr">
        <is>
          <t>APPAREL</t>
        </is>
      </c>
      <c r="D73" s="34" t="inlineStr">
        <is>
          <t>DENIM</t>
        </is>
      </c>
      <c r="E73" s="34" t="inlineStr">
        <is>
          <t>KIDS GIRLS</t>
        </is>
      </c>
      <c r="F73" s="34" t="inlineStr">
        <is>
          <t>DK.BLUE</t>
        </is>
      </c>
      <c r="G73" s="34" t="inlineStr">
        <is>
          <t>PGDNJA002015-DK.BLUE</t>
        </is>
      </c>
      <c r="H73" s="49" t="inlineStr">
        <is>
          <t>Purple United Kids Girls Wide Leg Jeans | High Waist Baggy Denim with Floral Embroidery | Soft Washed Fabric | Comfortable Fit | Stylish Girls Denim | Baggy Relaxed Fit for Easy Movement</t>
        </is>
      </c>
      <c r="I73" s="48" t="inlineStr">
        <is>
          <t>Kids Girls Wide Leg Jeans</t>
        </is>
      </c>
      <c r="J73" s="49" t="inlineStr">
        <is>
          <t>Kids Girls Wide Leg Jeans with Floral Embroidery, Comfortable Denim &amp; High Waist Baggy Fit</t>
        </is>
      </c>
      <c r="K73" s="49">
        <f>IFERROR(__xludf.DUMMYFUNCTION("AI(""Fill an appropriate value for this cell based on the table context"")"),"Kids Girls Wide Leg Jeans in Dark Blue with Floral Embroidery, High Waist Baggy Fit &amp; Soft Washed Denim")</f>
        <v/>
      </c>
      <c r="L73" s="49" t="inlineStr">
        <is>
          <t>Purple United Kids Girls Wide Leg Jeans with Floral Embroidery, Comfortable Denim &amp; High Waist Baggy Fit</t>
        </is>
      </c>
      <c r="M73" s="51" t="inlineStr">
        <is>
          <t>*FLORAL EMBROIDERED DETAILING: Colorful floral embroidered accents bring a standout character to these kids girls jeans. The placement adds a playful yet elevated touch, making the dark blue denim visually unique and fashion-forward.
*HIGH WAIST SECURE FIT: The high waist jeans design offers a balanced and comfortable hold. It sits neatly on the waist, providing a structured yet relaxed feel suitable for everyday wear.
*SOFT WASHED DENIM TEXTURE: Made using smooth girls denim with a soft washed finish, these stylish jeans feel gentle and flexible. The fabric maintains shape while staying comfortable for long hours.
*STRAIGHT FALL WIDE LEG SHAPE: The clean wide leg fall creates a neat and structured silhouette. These wide leg jeans for girls drape smoothly, enhancing the overall denim look with a polished finish.
*EASY MOVEMENT DENIM BUILD: Crafted for comfort, these jeans for kids girls allow effortless walking, sitting, and play. The relaxed girls denim construction supports natural movement without feeling restrictive.</t>
        </is>
      </c>
      <c r="N73" s="48" t="inlineStr">
        <is>
          <t>These Kids Girls Jeans from Purple United Kids bring together playful styling and everyday denim comfort. Designed in a dark blue shade, these wide leg jeans feature beautiful floral embroidered detailing that adds a standout touch while keeping the look refined and trendy. The high waist baggy fit offers a relaxed silhouette, making these girls jeans both stylish and comfortable for all-day wear.
Crafted in soft washed girls denim, the fabric feels smooth, breathable, and easy to move in. The wide leg jeans structure provides a roomy feel, while the structured fall keeps the look neat and polished. Functional pockets and clean stitching enhance the overall design, making these jeans for girls practical and fashion-forward.
These stylish girls denim jeans pair effortlessly with tops, tees, and casual shirts. Perfect for outings, everyday wear, and weekend looks, these wide leg jeans for girls add a modern baggy denim style to any wardrobe.</t>
        </is>
      </c>
    </row>
    <row r="74">
      <c r="A74" s="42" t="n"/>
      <c r="B74" s="34" t="inlineStr">
        <is>
          <t>PGDNHA002221</t>
        </is>
      </c>
      <c r="C74" s="34" t="inlineStr">
        <is>
          <t>APPAREL</t>
        </is>
      </c>
      <c r="D74" s="34" t="inlineStr">
        <is>
          <t>DENIM</t>
        </is>
      </c>
      <c r="E74" s="34" t="inlineStr">
        <is>
          <t>KIDS GIRLS</t>
        </is>
      </c>
      <c r="F74" s="34" t="inlineStr">
        <is>
          <t>WHITE</t>
        </is>
      </c>
      <c r="G74" s="34" t="inlineStr">
        <is>
          <t>PGDNHA002221-WHITE</t>
        </is>
      </c>
      <c r="H74" s="49" t="inlineStr">
        <is>
          <t xml:space="preserve">Purple United Kids Shorts for Girls | Airy Summer Denim Fabric | Clean Finish | High Waist Comfort Fit | Soft Structured Feel | Lightweight Girls Denim Shorts | Easy Movement Summer Wear for Girls
</t>
        </is>
      </c>
      <c r="I74" s="48" t="inlineStr">
        <is>
          <t>Kids Girls Denim Summer Shorts</t>
        </is>
      </c>
      <c r="J74" s="49" t="inlineStr">
        <is>
          <t xml:space="preserve">Shorts for Kids Girls in White Denim with High Waist &amp; Airy Fabric for Summer Active Wear
</t>
        </is>
      </c>
      <c r="K74" s="49">
        <f>IFERROR(__xludf.DUMMYFUNCTION("AI(""Fill an appropriate value for this cell based on the table context"")"),"Kids Girls Shorts in White Denim with High Waist &amp; Airy Fabric for Summer Active Wear")</f>
        <v/>
      </c>
      <c r="L74" s="49" t="inlineStr">
        <is>
          <t xml:space="preserve">Purple United Kids Shorts for Girls in White Denim with High Waist &amp; Airy Fabric for Active Wear
</t>
        </is>
      </c>
      <c r="M74" s="51" t="inlineStr">
        <is>
          <t>*AIRY SUMMER FABRIC: Designed using lightweight breathable denim, these girls denim shorts keep comfort in focus during warm days. The airy fabric supports ventilation, making them ideal summer wear for girls and everyday movement.
*HIGH WAIST COMFORT FIT: The high waist design provides a secure and comfortable hold around the waist. These shorts for girls sit neatly while offering ease of movement, ensuring comfort for active days.
*SOFT STRUCTURED FEEL: The soft yet structured fabric maintains shape while staying gentle on the skin. These summer denim shorts balance comfort and durability, creating a refined silhouette suitable for regular wear.
*FUNCTIONAL POCKET DETAIL: Designed with practical pockets, these cute denim shorts combine usability with clean styling. The minimal stitch detailing enhances the premium look while keeping the design simple and modern.
*EASY SUMMER STYLING: These shorts for kids girls pair effortlessly with tops, shirts, and tees. A versatile addition to summer clothes for girls, ideal for outings, vacations, and everyday casual wear.</t>
        </is>
      </c>
      <c r="N74" s="48" t="inlineStr">
        <is>
          <t>These shorts for kids girls from Purple United Kids are designed to deliver a clean, polished summer denim look. Crafted in denim, these summer denim shorts offer a fresh and premium appearance that pairs effortlessly with a variety of tops. The structured yet soft fabric ensures comfort while maintaining a neat silhouette, making them ideal for warm-weather dressing.
Designed with a high waist fit, these shorts for girls provide a secure and comfortable feel. The clean waistband with belt loops enhances the structured look, while the turn-up hem detail adds a modern and stylish finish. Functional pockets and minimal stitching elevate the overall design, keeping the shorts refined and versatile.
These girls shorts are easy to style with casual tees, shirts, and summer tops, making them perfect summer wear for girls. Whether for outings, vacations, or everyday wear, these fitted denim shorts combine comfort, clean styling, and premium finish in one essential wardrobe piece.</t>
        </is>
      </c>
    </row>
    <row r="75">
      <c r="A75" s="42" t="n"/>
      <c r="B75" s="34" t="inlineStr">
        <is>
          <t>PGDNHA002222</t>
        </is>
      </c>
      <c r="C75" s="34" t="inlineStr">
        <is>
          <t>APPAREL</t>
        </is>
      </c>
      <c r="D75" s="34" t="inlineStr">
        <is>
          <t>DENIM</t>
        </is>
      </c>
      <c r="E75" s="34" t="inlineStr">
        <is>
          <t>KIDS GIRLS</t>
        </is>
      </c>
      <c r="F75" s="34" t="inlineStr">
        <is>
          <t>BLACK</t>
        </is>
      </c>
      <c r="G75" s="34" t="inlineStr">
        <is>
          <t>PGDNHA002222-BLACK</t>
        </is>
      </c>
      <c r="H75" s="49" t="inlineStr">
        <is>
          <t xml:space="preserve">Purple United Kids Shorts for Girls | Airy Summer Denim Fabric | Clean Finish | High Waist Comfort Fit | Soft Structured Feel | Lightweight Girls Denim Shorts | Easy Movement Summer Wear for Girls
</t>
        </is>
      </c>
      <c r="I75" s="48" t="inlineStr">
        <is>
          <t>Kids Girls Denim Summer Shorts</t>
        </is>
      </c>
      <c r="J75" s="49" t="inlineStr">
        <is>
          <t>Shorts for Kids Girls in Black Denim with High Waist &amp; Airy Fabric for Summer Active Wear</t>
        </is>
      </c>
      <c r="K75" s="49">
        <f>IFERROR(__xludf.DUMMYFUNCTION("AI(""Fill an appropriate value for this cell based on the table context"")"),"Kids Girls Denim Shorts in Black with High Waist and Airy Summer Fabric Design")</f>
        <v/>
      </c>
      <c r="L75" s="49" t="inlineStr">
        <is>
          <t>Purple United Kids Shorts for Girls in Black Denim with High Waist &amp; Airy Fabric for Active Wear</t>
        </is>
      </c>
      <c r="M75" s="51" t="inlineStr">
        <is>
          <t>*AIRY SUMMER FABRIC: Designed using lightweight breathable denim, these girls denim shorts keep comfort in focus during warm days. The airy fabric supports ventilation, making them ideal summer wear for girls and everyday movement.
*HIGH WAIST COMFORT FIT: The high waist design provides a secure and comfortable hold around the waist. These shorts for girls sit neatly while offering ease of movement, ensuring comfort for active days.
*SOFT STRUCTURED FEEL: The soft yet structured fabric maintains shape while staying gentle on the skin. These summer denim shorts balance comfort and durability, creating a refined silhouette suitable for regular wear.
*FUNCTIONAL POCKET DETAIL: Designed with practical pockets, these cute denim shorts combine usability with clean styling. The minimal stitch detailing enhances the premium look while keeping the design simple and modern.
*EASY SUMMER STYLING: These shorts for kids girls pair effortlessly with tops, shirts, and tees. A versatile addition to summer clothes for girls, ideal for outings, vacations, and everyday casual wear.</t>
        </is>
      </c>
      <c r="N75" s="48" t="inlineStr">
        <is>
          <t>These shorts for kids girls from Purple United Kids are designed to deliver a clean, polished summer denim look. Crafted in denim, these summer denim shorts offer a fresh and premium appearance that pairs effortlessly with a variety of tops. The structured yet soft fabric ensures comfort while maintaining a neat silhouette, making them ideal for warm-weather dressing.
Designed with a high waist fit, these shorts for girls provide a secure and comfortable feel. The clean waistband with belt loops enhances the structured look, while the turn-up hem detail adds a modern and stylish finish. Functional pockets and minimal stitching elevate the overall design, keeping the shorts refined and versatile.
These girls shorts are easy to style with casual tees, shirts, and summer tops, making them perfect summer wear for girls. Whether for outings, vacations, or everyday wear, these fitted denim shorts combine comfort, clean styling, and premium finish in one essential wardrobe piece.</t>
        </is>
      </c>
    </row>
    <row r="76">
      <c r="A76" s="42" t="n"/>
      <c r="B76" s="34" t="inlineStr">
        <is>
          <t>PGLWLS002860</t>
        </is>
      </c>
      <c r="C76" s="34" t="inlineStr">
        <is>
          <t>APPAREL</t>
        </is>
      </c>
      <c r="D76" s="34" t="inlineStr">
        <is>
          <t>LOWER</t>
        </is>
      </c>
      <c r="E76" s="34" t="inlineStr">
        <is>
          <t>KIDS GIRLS</t>
        </is>
      </c>
      <c r="F76" s="34" t="inlineStr">
        <is>
          <t>BROWN</t>
        </is>
      </c>
      <c r="G76" s="34" t="inlineStr">
        <is>
          <t>PGLWLS002860-BROWN</t>
        </is>
      </c>
      <c r="H76" s="36" t="inlineStr">
        <is>
          <t>Purple United Kids Lower for Girls | Soft Stretch Fabric | Flared Silhouette | Elastic Waist Comfort | Lightweight Summer Wear for Girls | Rhinestone Logo Detail | Easy Movement Fit for Active Kids</t>
        </is>
      </c>
      <c r="I76" s="48" t="inlineStr">
        <is>
          <t>Girls Brown Flared Knit Lower</t>
        </is>
      </c>
      <c r="J76" s="49" t="inlineStr">
        <is>
          <t>Lower for Girls in Brown Flared Fit with Soft Stretch Fabric &amp; Elastic Waist Summer Wear</t>
        </is>
      </c>
      <c r="K76" s="49">
        <f>IFERROR(__xludf.DUMMYFUNCTION("AI(""Fill an appropriate value for this cell based on the table context"")"),"Purple United Kids Lower for Girls in Brown Flared Fit with Airy Fabric &amp; Elastic Waist Summer Wear")</f>
        <v/>
      </c>
      <c r="L76" s="49" t="inlineStr">
        <is>
          <t>Purple United Kids Lower for Girls in Brown Flared Fit with Airy Fabric &amp; Elastic Waist Summer Wear</t>
        </is>
      </c>
      <c r="M76" s="51" t="inlineStr">
        <is>
          <t>*SOFT STRETCH SUMMER FABRIC: Crafted in lightweight stretch fabric, this lower for girls offers breathable comfort for warm days. The soft texture feels gentle on the skin while allowing flexibility, making it ideal summer wear for girls.
*FLARED COMFORT SILHOUETTE: Designed with a gradual flared shape, these kids girls lowers create a stylish yet relaxed look. The silhouette supports easy movement while adding a modern fashion-forward touch to everyday outfits.
*ELASTIC WAIST EASY FIT: The elasticated waistband ensures a secure and comfortable fit. These lowers for girls are easy to wear and allow flexibility, making them suitable for active days and long-hour comfort.
*LIGHTWEIGHT EVERYDAY COMFORT: The breathable fabric keeps these lower for girls comfortable throughout the day. The lightweight construction enhances ease of movement, making them perfect for summer wear for girls.
*EASY SUMMER STYLING: These lowers for girls pair effortlessly with tops, tees, and casual shirts. A versatile option for summer wear for girls, suitable for outings, travel, and everyday comfort dressing.</t>
        </is>
      </c>
      <c r="N76" s="48" t="inlineStr">
        <is>
          <t>These lower for girls from Purple United Kids combine comfort, style, and summer-ready ease in a modern flared silhouette. Designed in a rich color shade, these kids girls lowers feature a clean structured look with a gradual flare that adds movement while maintaining a polished appearance. The minimal design is enhanced with subtle rhinestone branding, giving the lowers a premium and fashion-forward finish.
Crafted in soft stretch fabric, these lowers for girls feel smooth, lightweight, and breathable for warm-weather wear. The flexible material supports easy movement, making them suitable for active days, travel, and everyday comfort. The elasticated waistband provides a secure yet relaxed fit, allowing effortless wear without restriction. The clean fall and structured shape keep the silhouette neat while offering all-day comfort.
Perfect as summer wear for girls, these lowers pair effortlessly with tops, tees, and casual shirts. Whether styled for outings, relaxed days, or everyday dressing, these kids girls lowers offer a versatile blend of comfort, flexibility, and premium Purple United styling.</t>
        </is>
      </c>
    </row>
    <row r="77">
      <c r="A77" s="42" t="n"/>
      <c r="B77" s="34" t="inlineStr">
        <is>
          <t>PGLWLS002860</t>
        </is>
      </c>
      <c r="C77" s="34" t="inlineStr">
        <is>
          <t>APPAREL</t>
        </is>
      </c>
      <c r="D77" s="34" t="inlineStr">
        <is>
          <t>LOWER</t>
        </is>
      </c>
      <c r="E77" s="34" t="inlineStr">
        <is>
          <t>KIDS GIRLS</t>
        </is>
      </c>
      <c r="F77" s="34" t="inlineStr">
        <is>
          <t>LAVENDER</t>
        </is>
      </c>
      <c r="G77" s="34" t="inlineStr">
        <is>
          <t>PGLWLS002860-LAVENDER</t>
        </is>
      </c>
      <c r="H77" s="36" t="inlineStr">
        <is>
          <t>Purple United Kids Lower for Girls | Soft Stretch Fabric | Flared Silhouette | Elastic Waist Comfort | Lightweight Summer Wear for Girls | Rhinestone Logo Detail | Easy Movement Fit for Active Kids</t>
        </is>
      </c>
      <c r="I77" s="48" t="inlineStr">
        <is>
          <t>Kids Girls Flared Knit Lower</t>
        </is>
      </c>
      <c r="J77" s="49" t="inlineStr">
        <is>
          <t>Girls Lower in Lavender Flared Fit with Stretchy Fabric &amp; Elastic Waist for Active Wear</t>
        </is>
      </c>
      <c r="K77" s="49">
        <f>IFERROR(__xludf.DUMMYFUNCTION("AI(""Fill an appropriate value for this cell based on the table context"")"),"Kids Girls Lower in Lavender with Flared Fit, Soft Stretch Fabric &amp; Elastic Waist Comfort")</f>
        <v/>
      </c>
      <c r="L77" s="49" t="inlineStr">
        <is>
          <t>Purple United Kids Girls Lower in Lavender Flared Fit with Airy Fabric &amp; Elastic Waist Active Wear</t>
        </is>
      </c>
      <c r="M77" s="51" t="inlineStr">
        <is>
          <t>*SOFT STRETCH SUMMER FABRIC: Crafted in lightweight stretch fabric, this lower for girls offers breathable comfort for warm days. The soft texture feels gentle on the skin while allowing flexibility, making it ideal summer wear for girls.
*FLARED COMFORT SILHOUETTE: Designed with a gradual flared shape, these kids girls lowers create a stylish yet relaxed look. The silhouette supports easy movement while adding a modern fashion-forward touch to everyday outfits.
*ELASTIC WAIST EASY FIT: The elasticated waistband ensures a secure and comfortable fit. These lowers for girls are easy to wear and allow flexibility, making them suitable for active days and long-hour comfort.
*LIGHTWEIGHT EVERYDAY COMFORT: The breathable fabric keeps these lower for girls comfortable throughout the day. The lightweight construction enhances ease of movement, making them perfect for summer wear for girls.
*EASY SUMMER STYLING: These lowers for girls pair effortlessly with tops, tees, and casual shirts. A versatile option for summer wear for girls, suitable for outings, travel, and everyday comfort dressing.</t>
        </is>
      </c>
      <c r="N77" s="48" t="inlineStr">
        <is>
          <t>These lower for girls from Purple United Kids combine comfort, style, and summer-ready ease in a modern flared silhouette. Designed in a rich color shade, these kids girls lowers feature a clean structured look with a gradual flare that adds movement while maintaining a polished appearance. The minimal design is enhanced with subtle rhinestone branding, giving the lowers a premium and fashion-forward finish.
Crafted in soft stretch fabric, these lowers for girls feel smooth, lightweight, and breathable for warm-weather wear. The flexible material supports easy movement, making them suitable for active days, travel, and everyday comfort. The elasticated waistband provides a secure yet relaxed fit, allowing effortless wear without restriction. The clean fall and structured shape keep the silhouette neat while offering all-day comfort.
Perfect as summer wear for girls, these lowers pair effortlessly with tops, tees, and casual shirts. Whether styled for outings, relaxed days, or everyday dressing, these kids girls lowers offer a versatile blend of comfort, flexibility, and premium Purple United styling.</t>
        </is>
      </c>
    </row>
    <row r="78">
      <c r="A78" s="42" t="n"/>
      <c r="B78" s="47" t="inlineStr">
        <is>
          <t>PGLWLW002406</t>
        </is>
      </c>
      <c r="C78" s="47" t="inlineStr">
        <is>
          <t>APPAREL</t>
        </is>
      </c>
      <c r="D78" s="47" t="inlineStr">
        <is>
          <t>LOWER</t>
        </is>
      </c>
      <c r="E78" s="34" t="inlineStr">
        <is>
          <t>KIDS GIRLS</t>
        </is>
      </c>
      <c r="F78" s="47" t="inlineStr">
        <is>
          <t>LT. PINK</t>
        </is>
      </c>
      <c r="G78" s="34" t="inlineStr">
        <is>
          <t>PGLWLW002406-LT. PINK</t>
        </is>
      </c>
      <c r="H78" s="49" t="inlineStr">
        <is>
          <t>Purple United Kids Lower for Girls | Soft Stretch Fabric | Cargo Pocket Styling | Elastic Waist Comfort | Tapered Jogger Fit | Lightweight Summer Wear for Girls | Kids Girls Lowers for Active Wear</t>
        </is>
      </c>
      <c r="I78" s="48" t="inlineStr">
        <is>
          <t>Girls Pink Cargo Jogger Lowers</t>
        </is>
      </c>
      <c r="J78" s="49" t="inlineStr">
        <is>
          <t>Lower for Girls in Pink with Soft Stretch Cargo Jogger Structure for Summer Ready Comfort</t>
        </is>
      </c>
      <c r="K78" s="49">
        <f>IFERROR(__xludf.DUMMYFUNCTION("AI(""Fill an appropriate value for this cell based on the table context"")"),"Kids Girls Lower in Pink with Soft Stretch, Cargo Pockets &amp; Tapered Jogger Structure")</f>
        <v/>
      </c>
      <c r="L78" s="49" t="inlineStr">
        <is>
          <t>Purple United Kids Girls Lower in Pink with Soft Stretch Cargo Jogger Structure for Summer Comfort</t>
        </is>
      </c>
      <c r="M78" s="51" t="inlineStr">
        <is>
          <t>*SOFT STRETCH SUMMER FABRIC: Crafted in smooth stretchable fabric, this lower for girls offers breathable comfort for warm days. The lightweight feel supports flexibility and ease, making it ideal summer wear for girls and everyday movement.
*CARGO POCKET STYLING: Designed with functional cargo pockets, these kids girls lowers combine utility with modern styling. The structured pocket placement enhances the look while adding practicality for carrying small essentials.
*ELASTIC WAIST COMFORT FIT: The elasticated waistband with adjustable drawcord provides a secure and flexible fit. These lowers for girls ensure easy wear and comfort, supporting active movement throughout the day.
*TAPERED JOGGER SILHOUETTE: The jogger-style tapered fit with cuffed hem creates a clean sporty look. This lower for girls offers a balanced silhouette while allowing comfortable movement for everyday wear.
*EVERYDAY STYLING: These lowers for girls pair effortlessly with tees, tops, and casual wear. Designed for comfort and versatility, they are perfect summer wear for girls and stylish everyday outfits.</t>
        </is>
      </c>
      <c r="N78" s="48" t="inlineStr">
        <is>
          <t>Designed for comfort and modern everyday styling, this lower for girls from Purple United Kids brings a premium athleisure-inspired look. Crafted in a soft pink shade, these kids girls lowers feature a clean jogger silhouette with cargo pockets that add a functional and stylish touch. The contrast side stripe enhances the sporty appeal while maintaining a refined and polished finish.
Made using soft stretch fabric, these lowers for girls offer lightweight comfort suitable for warm days and active movement. The breathable material feels gentle on the skin and supports flexibility for all-day wear. An elasticated waistband with adjustable drawcord provides a secure yet relaxed fit, ensuring ease and comfort during everyday activities. The tapered jogger shape with cuffed hems creates a neat, structured fall.
Perfect as summer wear for girls, these lowers pair effortlessly with tees, tops, and casual outfits. These kids girls lowers combine comfort, utility, and premium Purple United styling for versatile everyday wear.</t>
        </is>
      </c>
    </row>
    <row r="79">
      <c r="A79" s="42" t="n"/>
      <c r="B79" s="34" t="inlineStr">
        <is>
          <t>TBFFBS003077</t>
        </is>
      </c>
      <c r="C79" s="34" t="inlineStr">
        <is>
          <t>FOOTWEAR</t>
        </is>
      </c>
      <c r="D79" s="34" t="inlineStr">
        <is>
          <t>FLIP FLOPS</t>
        </is>
      </c>
      <c r="E79" s="34" t="inlineStr">
        <is>
          <t>KIDS BOYS</t>
        </is>
      </c>
      <c r="F79" s="34" t="inlineStr">
        <is>
          <t>RED</t>
        </is>
      </c>
      <c r="G79" s="34" t="inlineStr">
        <is>
          <t>TBFFBS003077-RED</t>
        </is>
      </c>
      <c r="H79" s="49" t="inlineStr">
        <is>
          <t>Toothless Kids Boys Flip Flops | Soft V-Shape Strap | Cushioned Lightweight Sole | Anti-Slip Textured Outsole | Printed Footbed | Comfortable Summer Slippers for Boys | Casual Kids Footwear</t>
        </is>
      </c>
      <c r="I79" s="48" t="inlineStr">
        <is>
          <t>Kids Boys Red Casual FlipFlops</t>
        </is>
      </c>
      <c r="J79" s="49" t="inlineStr">
        <is>
          <t>Kids Boys Red Soft Strap Cushioned Sole Lightweight Comfort Design Flip Flops Slippers</t>
        </is>
      </c>
      <c r="K79" s="49" t="inlineStr">
        <is>
          <t>Kids Boys FlipFlops in Red with Soft Strap, Cushioned Sole &amp; Lightweight Comfort Design</t>
        </is>
      </c>
      <c r="L79" s="49" t="inlineStr">
        <is>
          <t>Toothless Kids Boys FlipFlops in Red with Cushioned Sole &amp; Lightweight Comfort Design</t>
        </is>
      </c>
      <c r="M79" s="51" t="inlineStr">
        <is>
          <t>*SOFT V-SHAPE STRAP COMFORT: Designed with a smooth V-shape strap, these Kids Boys FlipFlops provide a gentle and secure fit. The soft strap ensures comfortable wear while allowing easy movement, making them ideal flip flops for boys for everyday use.
*LIGHTWEIGHT CUSHIONED SOLE: The cushioned base delivers soft underfoot comfort with a lightweight feel. These flip flops for kids support relaxed steps and long hours of wear, making them comfortable boys slippers for daily outings.
*TEXTURED ANTI-SLIP OUTSOLE: The patterned outsole enhances grip and stability. These kids slippers for boys help provide better traction, making them suitable for indoor and outdoor movement.
*EASY SLIP-ON DESIGN: The open slip-on construction allows quick and convenient wear. These kids flip flops for boys are ideal for daily use, travel, and relaxed summer styling.
*EVERYDAY COMFORT FOOTWEAR: Perfect for casual outings, holidays, and home wear, these flip flops for boys pair effortlessly with shorts and bermudas. These kids slippers for boys combine comfort, flexibility, and lightweight feel.</t>
        </is>
      </c>
      <c r="N79" s="48" t="inlineStr">
        <is>
          <t>Designed for everyday comfort and playful styling, these Toothless (Purple United Kids) Boys Flip Flops bring a modern look with easy wear convenience. The geometric graphic printed footbed adds a stylish touch, making these flip flops for boys perfect for casual outings, holidays, and daily wear. The soft V-shape strap provides a gentle hold on the feet while ensuring comfortable movement throughout the day.
Built with a cushioned lightweight sole, these kids flip flops for boys offer soft underfoot comfort for extended wear. The flexible construction supports natural walking, while the textured anti-slip outsole helps improve grip and stability. These boys flipflop styles are designed to feel light, comfortable, and reliable for everyday use.
Ideal as slippers for kids, these flip flops for boys pair effortlessly with shorts, bermudas, and relaxed outfits. Whether used as kids slippers for boys or flip flops for kids, this versatile pair delivers comfort, durability, and modern styling. A practical addition to kids footwear for boys, these slippers for boys are designed for lightweight comfort and easy everyday wear.</t>
        </is>
      </c>
    </row>
    <row r="80">
      <c r="A80" s="42" t="n"/>
      <c r="B80" s="34" t="inlineStr">
        <is>
          <t>TBFFBS003078</t>
        </is>
      </c>
      <c r="C80" s="34" t="inlineStr">
        <is>
          <t>FOOTWEAR</t>
        </is>
      </c>
      <c r="D80" s="34" t="inlineStr">
        <is>
          <t>FLIP FLOPS</t>
        </is>
      </c>
      <c r="E80" s="34" t="inlineStr">
        <is>
          <t>KIDS BOYS</t>
        </is>
      </c>
      <c r="F80" s="34" t="inlineStr">
        <is>
          <t>NAVY</t>
        </is>
      </c>
      <c r="G80" s="34" t="inlineStr">
        <is>
          <t>TBFFBS003078-NAVY</t>
        </is>
      </c>
      <c r="H80" s="49" t="inlineStr">
        <is>
          <t>Toothless Kids Boys Flip Flops with Graphic Printed Footbed | Soft V-Shape Strap | Cushioned Lightweight Sole | Flexible Build &amp; Textured Anti-Slip Outsole | Comfortable Kids Footwear</t>
        </is>
      </c>
      <c r="I80" s="48" t="inlineStr">
        <is>
          <t>Kids Boys Casual Flip Flops</t>
        </is>
      </c>
      <c r="J80" s="49" t="inlineStr">
        <is>
          <t>Kids Boys Navy Graphic Print Soft Strap Cushioned Comfort Sole Flip Flops Slippers</t>
        </is>
      </c>
      <c r="K80" s="49" t="inlineStr">
        <is>
          <t xml:space="preserve">Kids Boys Flip Flops in Navy with Graphic Print, Soft Strap &amp; Cushioned Comfort Sole
</t>
        </is>
      </c>
      <c r="L80" s="49" t="inlineStr">
        <is>
          <t xml:space="preserve">Toothless Kids Boys Flip Flops in Navy with Soft Strap &amp; Cushioned Comfort Sole
</t>
        </is>
      </c>
      <c r="M80" s="51" t="inlineStr">
        <is>
          <t>*SOFT V-SHAPE STRAP COMFORT: Designed with a smooth V-shape strap, these Kids Boys FlipFlops provide a gentle and secure fit. The soft strap ensures comfortable wear while allowing easy movement, making them ideal flip flops for boys for everyday use.
*LIGHTWEIGHT CUSHIONED SOLE: The cushioned base delivers soft underfoot comfort with a lightweight feel. These flip flops for kids support relaxed steps and long hours of wear, making them comfortable boys slippers for daily outings.
*TEXTURED ANTI-SLIP OUTSOLE: The patterned outsole enhances grip and stability. These kids slippers for boys help provide better traction, making them suitable for indoor and outdoor movement.
*EASY SLIP-ON DESIGN: The open slip-on construction allows quick and convenient wear. These kids flip flops for boys are ideal for daily use, travel, and relaxed summer styling.
*EVERYDAY COMFORT FOOTWEAR: Perfect for casual outings, holidays, and home wear, these flip flops for boys pair effortlessly with shorts and bermudas. These kids slippers for boys combine comfort, flexibility, and lightweight feel.</t>
        </is>
      </c>
      <c r="N80" s="48" t="inlineStr">
        <is>
          <t>Designed for everyday comfort and playful styling, these Toothless (Purple United Kids) Boys Flip Flops bring a modern look with easy wear convenience. The geometric graphic printed footbed adds a stylish touch, making these flip flops for boys perfect for casual outings, holidays, and daily wear. The soft V-shape strap provides a gentle hold on the feet while ensuring comfortable movement throughout the day.
Built with a cushioned lightweight sole, these kids flip flops for boys offer soft underfoot comfort for extended wear. The flexible construction supports natural walking, while the textured anti-slip outsole helps improve grip and stability. These boys flipflop styles are designed to feel light, comfortable, and reliable for everyday use.
Ideal as slippers for kids, these flip flops for boys pair effortlessly with shorts, bermudas, and relaxed outfits. Whether used as kids slippers for boys or flip flops for kids, this versatile pair delivers comfort, durability, and modern styling. A practical addition to kids footwear for boys, these slippers for boys are designed for lightweight comfort and easy everyday wear.</t>
        </is>
      </c>
    </row>
    <row r="81">
      <c r="A81" s="42" t="n"/>
      <c r="B81" s="34" t="inlineStr">
        <is>
          <t>TGFFBS003079</t>
        </is>
      </c>
      <c r="C81" s="34" t="inlineStr">
        <is>
          <t>FOOTWEAR</t>
        </is>
      </c>
      <c r="D81" s="38" t="inlineStr">
        <is>
          <t>FLIP FLOPS</t>
        </is>
      </c>
      <c r="E81" s="34" t="inlineStr">
        <is>
          <t>KIDS GIRLS</t>
        </is>
      </c>
      <c r="F81" s="34" t="inlineStr">
        <is>
          <t>BLACK</t>
        </is>
      </c>
      <c r="G81" s="34" t="inlineStr">
        <is>
          <t>TGFFBS003079-BLACK</t>
        </is>
      </c>
      <c r="H81" s="49" t="inlineStr">
        <is>
          <t>Toothless Kids Girls Flip Flops with Graphic Printed Footbed | Soft V-Shape Strap | Cushioned Lightweight Sole | Flexible Build &amp; Textured Anti-Slip Outsole | Comfortable Kids Footwear</t>
        </is>
      </c>
      <c r="I81" s="48" t="inlineStr">
        <is>
          <t>Kids Girls Casual Flip Flops</t>
        </is>
      </c>
      <c r="J81" s="49" t="inlineStr">
        <is>
          <t>Kids Girls Black Graphic Print Soft Strap Cushioned Comfort Sole Flip Flops Slippers</t>
        </is>
      </c>
      <c r="K81" s="49" t="inlineStr">
        <is>
          <t>Kids Girls Flip Flops in Black with Graphic Print, Soft Strap &amp; Cushioned Comfort Sole</t>
        </is>
      </c>
      <c r="L81" s="49" t="inlineStr">
        <is>
          <t>Toothless Kids Girls Flip Flops in Black with Soft Strap &amp; Cushioned Comfort Sole</t>
        </is>
      </c>
      <c r="M81" s="51" t="inlineStr">
        <is>
          <t>*SOFT V-SHAPE STRAP COMFORT: Designed with a smooth V-shape strap, these Kids Girls FlipFlops provide a gentle and secure fit. The soft strap ensures comfortable wear while allowing easy movement, making them ideal flip flops for girls for everyday use.
*LIGHTWEIGHT CUSHIONED SOLE: The cushioned base delivers soft underfoot comfort with a lightweight feel. These flip flops for kids support relaxed steps and long hours of wear, making them comfortable girls slippers for daily outings.
*TEXTURED ANTI-SLIP OUTSOLE: The patterned outsole enhances grip and stability. These kids slippers for girls help provide better traction, making them suitable for indoor and outdoor movement.
*EASY SLIP-ON DESIGN: The open slip-on construction allows quick and convenient wear. These kids flip flops for Girls are ideal for daily use, travel, and relaxed summer styling.
*EVERYDAY COMFORT FOOTWEAR: Perfect for casual outings, holidays, and home wear, these flip flops for girls pair effortlessly with shorts and bermudas. These kids slippers for girls combine comfort, flexibility, and lightweight feel.</t>
        </is>
      </c>
      <c r="N81" s="48" t="inlineStr">
        <is>
          <t>Designed for everyday comfort and playful styling, these Toothless (Purple United Kids) Girls Flip Flops bring a modern look with easy wear convenience. The geometric graphic printed footbed adds a stylish touch, making these flip flops for girls perfect for casual outings, holidays, and daily wear. The soft V-shape strap provides a gentle hold on the feet while ensuring comfortable movement throughout the day.
Built with a cushioned lightweight sole, these kids flip flops for girls offer soft underfoot comfort for extended wear. The flexible construction supports natural walking, while the textured anti-slip outsole helps improve grip and stability. These girls flipflop styles are designed to feel light, comfortable, and reliable for everyday use.
Ideal as slippers for kids, these flip flops for girls pair effortlessly with shorts, bermudas, and relaxed outfits. Whether used as kids slippers for girls or flip flops for kids, this versatile pair delivers comfort, durability, and modern styling. A practical addition to kids footwear for girls, these slippers for girls are designed for lightweight comfort and easy everyday wear.</t>
        </is>
      </c>
    </row>
    <row r="82">
      <c r="A82" s="42" t="n"/>
      <c r="B82" s="38" t="inlineStr">
        <is>
          <t>TGFFBS003080</t>
        </is>
      </c>
      <c r="C82" s="38" t="inlineStr">
        <is>
          <t>FOOTWEAR</t>
        </is>
      </c>
      <c r="D82" s="38" t="inlineStr">
        <is>
          <t>FLIP FLOPS</t>
        </is>
      </c>
      <c r="E82" s="38" t="inlineStr">
        <is>
          <t>KIDS GIRLS</t>
        </is>
      </c>
      <c r="F82" s="38" t="inlineStr">
        <is>
          <t>PINK</t>
        </is>
      </c>
      <c r="G82" s="34" t="inlineStr">
        <is>
          <t>TGFFBS003080-PINK</t>
        </is>
      </c>
      <c r="H82" s="49" t="inlineStr">
        <is>
          <t>Toothless Kids Girls Flip Flops with Graphic Printed Footbed | Soft V-Shape Strap | Cushioned Lightweight Sole | Flexible Build &amp; Textured Anti-Slip Outsole | Comfortable Kids Footwear</t>
        </is>
      </c>
      <c r="I82" s="48" t="inlineStr">
        <is>
          <t>Kids Girls Casual Flip Flops</t>
        </is>
      </c>
      <c r="J82" s="49" t="inlineStr">
        <is>
          <t>Kids Girls Pink Graphic Print Soft Strap Cushioned Comfort Sole Flip Flops Slippers</t>
        </is>
      </c>
      <c r="K82" s="49" t="inlineStr">
        <is>
          <t>Kids Girls Flip Flops in Pink with Graphic Print, Soft Strap &amp; Cushioned Comfort Sole</t>
        </is>
      </c>
      <c r="L82" s="49" t="inlineStr">
        <is>
          <t>Toothless Kids Girls Flip Flops in Pink with Soft Strap &amp; Cushioned Comfort Sole</t>
        </is>
      </c>
      <c r="M82" s="51" t="inlineStr">
        <is>
          <t>*SOFT V-SHAPE STRAP COMFORT: Designed with a smooth V-shape strap, these Kids Girls FlipFlops provide a gentle and secure fit. The soft strap ensures comfortable wear while allowing easy movement, making them ideal flip flops for girls for everyday use.
*LIGHTWEIGHT CUSHIONED SOLE: The cushioned base delivers soft underfoot comfort with a lightweight feel. These flip flops for kids support relaxed steps and long hours of wear, making them comfortable girls slippers for daily outings.
*TEXTURED ANTI-SLIP OUTSOLE: The patterned outsole enhances grip and stability. These kids slippers for girls help provide better traction, making them suitable for indoor and outdoor movement.
*EASY SLIP-ON DESIGN: The open slip-on construction allows quick and convenient wear. These kids flip flops for Girls are ideal for daily use, travel, and relaxed summer styling.
*EVERYDAY COMFORT FOOTWEAR: Perfect for casual outings, holidays, and home wear, these flip flops for girls pair effortlessly with shorts and bermudas. These kids slippers for girls combine comfort, flexibility, and lightweight feel.</t>
        </is>
      </c>
      <c r="N82" s="48" t="inlineStr">
        <is>
          <t>Designed for everyday comfort and playful styling, these Toothless (Purple United Kids) Girls Flip Flops bring a modern look with easy wear convenience. The geometric graphic printed footbed adds a stylish touch, making these flip flops for girls perfect for casual outings, holidays, and daily wear. The soft V-shape strap provides a gentle hold on the feet while ensuring comfortable movement throughout the day.
Built with a cushioned lightweight sole, these kids flip flops for girls offer soft underfoot comfort for extended wear. The flexible construction supports natural walking, while the textured anti-slip outsole helps improve grip and stability. These girls flipflop styles are designed to feel light, comfortable, and reliable for everyday use.
Ideal as slippers for kids, these flip flops for girls pair effortlessly with shorts, bermudas, and relaxed outfits. Whether used as kids slippers for girls or flip flops for kids, this versatile pair delivers comfort, durability, and modern styling. A practical addition to kids footwear for girls, these slippers for girls are designed for lightweight comfort and easy everyday wear.</t>
        </is>
      </c>
    </row>
    <row r="83">
      <c r="A83" s="42" t="n"/>
      <c r="B83" s="40" t="inlineStr">
        <is>
          <t>TGSABS003081</t>
        </is>
      </c>
      <c r="C83" s="40" t="inlineStr">
        <is>
          <t>FOOTWEAR</t>
        </is>
      </c>
      <c r="D83" s="40" t="inlineStr">
        <is>
          <t>FASHION SANDALS</t>
        </is>
      </c>
      <c r="E83" s="40" t="inlineStr">
        <is>
          <t>KIDS GIRLS</t>
        </is>
      </c>
      <c r="F83" s="40" t="inlineStr">
        <is>
          <t>MAROON</t>
        </is>
      </c>
      <c r="G83" s="40" t="inlineStr">
        <is>
          <t>TGSABS003081-MAROON</t>
        </is>
      </c>
      <c r="H83" s="49" t="inlineStr">
        <is>
          <t>Toothless Kids Girls Sandals with Minimal Strap Design | Flexible Sole | Lightweight Feel &amp; Adjustable Buckle for Secure Easy Fit and Refined Everyday Kids Footwear</t>
        </is>
      </c>
      <c r="I83" s="48" t="inlineStr">
        <is>
          <t>Maroon Kids Girls Sandals</t>
        </is>
      </c>
      <c r="J83" s="49" t="inlineStr">
        <is>
          <t>Kids Girls Maroon Minimal Strap Design, Easy Fit &amp; Lightweight Comfort Sandals</t>
        </is>
      </c>
      <c r="K83" s="49" t="inlineStr">
        <is>
          <t>Kids Girls Sandals Maroon Minimal Strap Design with Easy Fit &amp; Lightweight Comfort</t>
        </is>
      </c>
      <c r="L83" s="49" t="inlineStr">
        <is>
          <t>Toothless Kids Girls Sandals Maroon Strap Design with Easy Fit &amp; Lightweight Comfort</t>
        </is>
      </c>
      <c r="M83" s="51" t="inlineStr">
        <is>
          <t>*MINIMAL &amp; MODERN STRAP DESIGN: Clean multi-strap styling gives these sandals for girls a sleek and modern look while providing a secure feel, making them both fashionable and practical for everyday wear.
*LIGHTWEIGHT COMFORT FEEL: Designed to feel light on the feet, these kids sandals for girls reduce heaviness while walking, ensuring all-day comfort and making them perfect girls sandals for regular use.
*ADJUSTABLE EASY FIT BUCKLE: The buckle closure allows a quick and secure fit, making these sandals for girls easy to wear and adjust while ensuring they stay comfortably in place.
*BREATHABLE OPEN STRUCTURE: The open design allows airflow, helping these kids sandals keep feet cool and fresh, especially during warmer days and extended wear.
*EFFORTLESS STYLING ESSENTIAL: These sandals for girls pair easily with dresses, jeans, or festive outfits, making them a versatile addition to any wardrobe and suitable for multiple occasions.</t>
        </is>
      </c>
      <c r="N83" s="48" t="inlineStr">
        <is>
          <t>Refined, minimal, and effortlessly stylish, these Toothless Kids Girls Sandals are designed for modern everyday wear. The rich tone adds a warm, premium touch, making these sandals for girls a versatile choice for both casual outings and dressy looks.
Crafted with a smooth cushioned base, these kids sandals for girls provide a gentle and comfortable feel for all-day wear. The lightweight construction ensures ease of movement, making these girls sandals ideal for active routines and long hours.
The clean multi-strap design offers a secure hold while maintaining a sleek, minimal aesthetic. An adjustable buckle allows an easy and personalized fit, making these reliable sandals for kids for everyday use.
Perfect for pairing with dresses, casual outfits, or festive wear, these girls sandals online combine simplicity with premium detailing. Built with Toothless’s focus on comfort and design, these kids sandals deliver effortless style with everyday functionality.</t>
        </is>
      </c>
    </row>
    <row r="84">
      <c r="A84" s="42" t="n"/>
      <c r="B84" s="34" t="inlineStr">
        <is>
          <t>TGSABS003083</t>
        </is>
      </c>
      <c r="C84" s="34" t="inlineStr">
        <is>
          <t>FOOTWEAR</t>
        </is>
      </c>
      <c r="D84" s="34" t="inlineStr">
        <is>
          <t>FASHION SANDALS</t>
        </is>
      </c>
      <c r="E84" s="34" t="inlineStr">
        <is>
          <t>KIDS GIRLS</t>
        </is>
      </c>
      <c r="F84" s="34" t="inlineStr">
        <is>
          <t>BLUE</t>
        </is>
      </c>
      <c r="G84" s="43" t="inlineStr">
        <is>
          <t>TGSABS003083-BLUE</t>
        </is>
      </c>
      <c r="H84" s="49" t="inlineStr">
        <is>
          <t>Toothless Kids Girls Sandals with Minimal Strap Design | Flexible Sole | Lightweight Feel &amp; Adjustable Buckle for Secure Easy Fit and Refined Everyday Kids Footwear</t>
        </is>
      </c>
      <c r="I84" s="48" t="inlineStr">
        <is>
          <t>Blue Kids Girls Sandals</t>
        </is>
      </c>
      <c r="J84" s="49" t="inlineStr">
        <is>
          <t>Kids Girls Blue Minimal Strap Design, Easy Fit &amp; Lightweight Comfort Sandals</t>
        </is>
      </c>
      <c r="K84" s="49" t="inlineStr">
        <is>
          <t>Kids Girls Sandals Blue Minimal Strap Design with Easy Fit &amp; Lightweight Comfort</t>
        </is>
      </c>
      <c r="L84" s="49" t="inlineStr">
        <is>
          <t>Toothless Kids Girls Sandals Blue Strap Design with Easy Fit &amp; Lightweight Comfort</t>
        </is>
      </c>
      <c r="M84" s="51" t="inlineStr">
        <is>
          <t>*MINIMAL &amp; MODERN STRAP DESIGN: Clean multi-strap styling gives these sandals for girls a sleek and modern look while providing a secure feel, making them both fashionable and practical for everyday wear.
*LIGHTWEIGHT COMFORT FEEL: Designed to feel light on the feet, these kids sandals for girls reduce heaviness while walking, ensuring all-day comfort and making them perfect girls sandals for regular use.
*ADJUSTABLE EASY FIT BUCKLE: The buckle closure allows a quick and secure fit, making these sandals for girls easy to wear and adjust while ensuring they stay comfortably in place.
*BREATHABLE OPEN STRUCTURE: The open design allows airflow, helping these kids sandals keep feet cool and fresh, especially during warmer days and extended wear.
*EFFORTLESS STYLING ESSENTIAL: These sandals for girls pair easily with dresses, jeans, or festive outfits, making them a versatile addition to any wardrobe and suitable for multiple occasions.</t>
        </is>
      </c>
      <c r="N84" s="48" t="inlineStr">
        <is>
          <t>Refined, minimal, and effortlessly stylish, these Toothless Kids Girls Sandals are designed for modern everyday wear. The rich tone adds a warm, premium touch, making these sandals for girls a versatile choice for both casual outings and dressy looks.
Crafted with a smooth cushioned base, these kids sandals for girls provide a gentle and comfortable feel for all-day wear. The lightweight construction ensures ease of movement, making these girls sandals ideal for active routines and long hours.
The clean multi-strap design offers a secure hold while maintaining a sleek, minimal aesthetic. An adjustable buckle allows an easy and personalized fit, making these reliable sandals for kids for everyday use.
Perfect for pairing with dresses, casual outfits, or festive wear, these girls sandals online combine simplicity with premium detailing. Built with Toothless’s focus on comfort and design, these kids sandals deliver effortless style with everyday functionality.</t>
        </is>
      </c>
    </row>
    <row r="85">
      <c r="A85" s="42" t="n"/>
      <c r="B85" s="34" t="inlineStr">
        <is>
          <t>TGSABS003083</t>
        </is>
      </c>
      <c r="C85" s="34" t="inlineStr">
        <is>
          <t>FOOTWEAR</t>
        </is>
      </c>
      <c r="D85" s="34" t="inlineStr">
        <is>
          <t>FASHION SANDALS</t>
        </is>
      </c>
      <c r="E85" s="34" t="inlineStr">
        <is>
          <t>KIDS GIRLS</t>
        </is>
      </c>
      <c r="F85" s="34" t="inlineStr">
        <is>
          <t>PLUM</t>
        </is>
      </c>
      <c r="G85" s="34" t="inlineStr">
        <is>
          <t>TGSABS003083-PLUM</t>
        </is>
      </c>
      <c r="H85" s="49" t="inlineStr">
        <is>
          <t>Toothless Kids Girls Sandals with Minimal Strap Design | Flexible Sole | Lightweight Feel &amp; Adjustable Buckle for Secure Easy Fit and Refined Everyday Kids Footwear</t>
        </is>
      </c>
      <c r="I85" s="48" t="inlineStr">
        <is>
          <t>Plum Kids Girls Sandals</t>
        </is>
      </c>
      <c r="J85" s="49" t="inlineStr">
        <is>
          <t>Kids Girls Plum Minimal Strap Design, Easy Fit &amp; Lightweight Comfort Sandals</t>
        </is>
      </c>
      <c r="K85" s="49" t="inlineStr">
        <is>
          <t>Kids Girls Sandals Plum Minimal Strap Design with Easy Fit &amp; Lightweight Comfort</t>
        </is>
      </c>
      <c r="L85" s="49" t="inlineStr">
        <is>
          <t>Toothless Kids Girls Sandals Plum Strap Design with Easy Fit &amp; Lightweight Comfort</t>
        </is>
      </c>
      <c r="M85" s="51" t="inlineStr">
        <is>
          <t>*MINIMAL &amp; MODERN STRAP DESIGN: Clean multi-strap styling gives these sandals for girls a sleek and modern look while providing a secure feel, making them both fashionable and practical for everyday wear.
*LIGHTWEIGHT COMFORT FEEL: Designed to feel light on the feet, these kids sandals for girls reduce heaviness while walking, ensuring all-day comfort and making them perfect girls sandals for regular use.
*ADJUSTABLE EASY FIT BUCKLE: The buckle closure allows a quick and secure fit, making these sandals for girls easy to wear and adjust while ensuring they stay comfortably in place.
*BREATHABLE OPEN STRUCTURE: The open design allows airflow, helping these kids sandals keep feet cool and fresh, especially during warmer days and extended wear.
*EFFORTLESS STYLING ESSENTIAL: These sandals for girls pair easily with dresses, jeans, or festive outfits, making them a versatile addition to any wardrobe and suitable for multiple occasions.</t>
        </is>
      </c>
      <c r="N85" s="48" t="inlineStr">
        <is>
          <t>Refined, minimal, and effortlessly stylish, these Toothless Kids Girls Sandals are designed for modern everyday wear. The rich tone adds a warm, premium touch, making these sandals for girls a versatile choice for both casual outings and dressy looks.
Crafted with a smooth cushioned base, these kids sandals for girls provide a gentle and comfortable feel for all-day wear. The lightweight construction ensures ease of movement, making these girls sandals ideal for active routines and long hours.
The clean multi-strap design offers a secure hold while maintaining a sleek, minimal aesthetic. An adjustable buckle allows an easy and personalized fit, making these reliable sandals for kids for everyday use.
Perfect for pairing with dresses, casual outfits, or festive wear, these girls sandals online combine simplicity with premium detailing. Built with Toothless’s focus on comfort and design, these kids sandals deliver effortless style with everyday functionality.</t>
        </is>
      </c>
    </row>
    <row r="86">
      <c r="A86" s="42" t="n"/>
      <c r="B86" s="34" t="inlineStr">
        <is>
          <t>TGSABS003081</t>
        </is>
      </c>
      <c r="C86" s="34" t="inlineStr">
        <is>
          <t>FOOTWEAR</t>
        </is>
      </c>
      <c r="D86" s="34" t="inlineStr">
        <is>
          <t>FASHION SANDALS</t>
        </is>
      </c>
      <c r="E86" s="34" t="inlineStr">
        <is>
          <t>KIDS GIRLS</t>
        </is>
      </c>
      <c r="F86" s="34" t="inlineStr">
        <is>
          <t>NAVY</t>
        </is>
      </c>
      <c r="G86" s="34" t="inlineStr">
        <is>
          <t>TGSABS003081-NAVY</t>
        </is>
      </c>
      <c r="H86" s="49" t="inlineStr">
        <is>
          <t>Toothless Kids Girls Sandals with Minimal Strap Design | Flexible Sole | Lightweight Feel &amp; Adjustable Buckle for Secure Easy Fit and Refined Everyday Kids Footwear</t>
        </is>
      </c>
      <c r="I86" s="48" t="inlineStr">
        <is>
          <t>Navy Kids Girls Sandals</t>
        </is>
      </c>
      <c r="J86" s="49" t="inlineStr">
        <is>
          <t>Kids Girls Navy Minimal Strap Design, Easy Fit &amp; Lightweight Comfort Sandals</t>
        </is>
      </c>
      <c r="K86" s="49" t="inlineStr">
        <is>
          <t>Kids Girls Sandals Navy Minimal Strap Design with Easy Fit &amp; Lightweight Comfort</t>
        </is>
      </c>
      <c r="L86" s="49" t="inlineStr">
        <is>
          <t>Toothless Kids Girls Sandals Navy Strap Design with Easy Fit &amp; Lightweight Comfort</t>
        </is>
      </c>
      <c r="M86" s="51" t="inlineStr">
        <is>
          <t>*MINIMAL &amp; MODERN STRAP DESIGN: Clean multi-strap styling gives these sandals for girls a sleek and modern look while providing a secure feel, making them both fashionable and practical for everyday wear.
*LIGHTWEIGHT COMFORT FEEL: Designed to feel light on the feet, these kids sandals for girls reduce heaviness while walking, ensuring all-day comfort and making them perfect girls sandals for regular use.
*ADJUSTABLE EASY FIT BUCKLE: The buckle closure allows a quick and secure fit, making these sandals for girls easy to wear and adjust while ensuring they stay comfortably in place.
*BREATHABLE OPEN STRUCTURE: The open design allows airflow, helping these kids sandals keep feet cool and fresh, especially during warmer days and extended wear.
*EFFORTLESS STYLING ESSENTIAL: These sandals for girls pair easily with dresses, jeans, or festive outfits, making them a versatile addition to any wardrobe and suitable for multiple occasions.</t>
        </is>
      </c>
      <c r="N86" s="48" t="inlineStr">
        <is>
          <t>Refined, minimal, and effortlessly stylish, these Toothless Kids Girls Sandals are designed for modern everyday wear. The rich tone adds a warm, premium touch, making these sandals for girls a versatile choice for both casual outings and dressy looks.
Crafted with a smooth cushioned base, these kids sandals for girls provide a gentle and comfortable feel for all-day wear. The lightweight construction ensures ease of movement, making these girls sandals ideal for active routines and long hours.
The clean multi-strap design offers a secure hold while maintaining a sleek, minimal aesthetic. An adjustable buckle allows an easy and personalized fit, making these reliable sandals for kids for everyday use.
Perfect for pairing with dresses, casual outfits, or festive wear, these girls sandals online combine simplicity with premium detailing. Built with Toothless’s focus on comfort and design, these kids sandals deliver effortless style with everyday functionality.</t>
        </is>
      </c>
    </row>
    <row r="87">
      <c r="A87" s="42" t="n"/>
      <c r="B87" s="34" t="inlineStr">
        <is>
          <t>PBTRHS002927</t>
        </is>
      </c>
      <c r="C87" s="34" t="inlineStr">
        <is>
          <t>APPAREL</t>
        </is>
      </c>
      <c r="D87" s="34" t="inlineStr">
        <is>
          <t>TROUSERS</t>
        </is>
      </c>
      <c r="E87" s="34" t="inlineStr">
        <is>
          <t>KIDS BOYS</t>
        </is>
      </c>
      <c r="F87" s="34" t="inlineStr">
        <is>
          <t>BEIGE</t>
        </is>
      </c>
      <c r="G87" s="34" t="inlineStr">
        <is>
          <t>PBTRHS002927-BEIGE</t>
        </is>
      </c>
      <c r="H87" s="49" t="inlineStr">
        <is>
          <t>Purple United Kids Boys Trousers with Tailored Smart Fit | Premium Button Waistband | Contrast Pocket Detail | Soft Comfortable Fabric &amp; Clean Straight Silhouette | Smart Casual Trousers for Boys</t>
        </is>
      </c>
      <c r="I87" s="48" t="inlineStr">
        <is>
          <t>Boys Beige Cotton Trousers</t>
        </is>
      </c>
      <c r="J87" s="49" t="inlineStr">
        <is>
          <t>Kids Boys Tailored Fit, Smart Pocket Styling &amp; Comfortable Fabric Beige Trousers</t>
        </is>
      </c>
      <c r="K87" s="49" t="inlineStr">
        <is>
          <t>Kids Boys Trousers in Beige with Tailored Fit, Smart Pocket Styling &amp; Comfort Fabric</t>
        </is>
      </c>
      <c r="L87" s="49" t="inlineStr">
        <is>
          <t>Purple United Kids Boys Trousers in Beige with Tailored Fit &amp; Comfortable Fabric</t>
        </is>
      </c>
      <c r="M87" s="51" t="inlineStr">
        <is>
          <t>*SMART TAILORED FIT: Designed with a clean straight silhouette, these Kids Boys Trousers deliver a polished and structured look. The tailored shape provides a neat appearance while allowing comfortable movement for everyday wear.
*PREMIUM COMFORT FABRIC: Crafted in soft breathable fabric, these Kids Boys Trousers feel gentle on the skin. The lightweight construction ensures lasting comfort, making them suitable for long hours of wear.
*SIGNATURE POCKET DETAILING: Contrast stripe accents on the back pockets add a refined and premium touch. These Kids Boys Trousers combine subtle styling with a smart and elevated finish.
*SECURE BUTTON WAISTBAND: The structured waistband with button closure ensures a secure and comfortable fit. These Kids Boys Trousers stay neatly in place while supporting easy movement.
*FUNCTIONAL SMART POCKETS: Thoughtfully placed pockets enhance usability while maintaining a clean look. These Kids Boys Trousers offer practicality without compromising on style.
*VERSATILE SMART CASUAL STYLE: Perfect for casual outings, celebrations, and everyday dressing, these Kids Boys Trousers pair effortlessly with shirts, polos, and t-shirts for a complete smart look.</t>
        </is>
      </c>
      <c r="N87" s="48" t="inlineStr">
        <is>
          <t>Designed for smart everyday dressing, these Kids Boys Trousers from Purple United combine a clean tailored look with comfortable wearability. The structured silhouette offers a polished appearance, making them suitable for casual outings, celebrations, and smart everyday styling. Subtle contrast pocket detailing adds a refined touch, enhancing the premium appeal while keeping the design minimal and versatile.
Crafted in soft and breathable fabric, these Kids Boys Trousers provide lasting comfort for all-day wear. The lightweight construction allows easy movement, while the structured waistband with button closure ensures a secure and neat fit. Functional pockets add practicality without interrupting the clean silhouette, making them ideal for regular use.
These Kids Boys Trousers pair effortlessly with shirts, polos, and t-shirts, creating a versatile wardrobe essential. Designed for comfort and style, they offer a balanced combination of smart tailoring, ease of movement, and premium Purple United detailing for everyday wear.</t>
        </is>
      </c>
    </row>
    <row r="88">
      <c r="A88" s="42" t="n"/>
      <c r="B88" s="34" t="inlineStr">
        <is>
          <t>PBTRHS002927</t>
        </is>
      </c>
      <c r="C88" s="34" t="inlineStr">
        <is>
          <t>APPAREL</t>
        </is>
      </c>
      <c r="D88" s="34" t="inlineStr">
        <is>
          <t>TROUSERS</t>
        </is>
      </c>
      <c r="E88" s="34" t="inlineStr">
        <is>
          <t>KIDS BOYS</t>
        </is>
      </c>
      <c r="F88" s="34" t="inlineStr">
        <is>
          <t>BLACK</t>
        </is>
      </c>
      <c r="G88" s="34" t="inlineStr">
        <is>
          <t>PBTRHS002927-BLACK</t>
        </is>
      </c>
      <c r="H88" s="49" t="inlineStr">
        <is>
          <t>Purple United Kids Boys Trousers with Tailored Smart Fit | Premium Button Waistband | Contrast Pocket Detail | Soft Comfortable Fabric &amp; Clean Straight Silhouette | Smart Casual Trousers for Boys</t>
        </is>
      </c>
      <c r="I88" s="48" t="inlineStr">
        <is>
          <t>Boys Black Cotton Trousers</t>
        </is>
      </c>
      <c r="J88" s="49" t="inlineStr">
        <is>
          <t>Kids Boys Tailored Fit, Smart Pocket Styling &amp; Comfortable Fabric Black Trousers</t>
        </is>
      </c>
      <c r="K88" s="49" t="inlineStr">
        <is>
          <t>Kids Boys Trousers in Black with Tailored Fit, Smart Pocket Styling &amp; Comfort Fabric</t>
        </is>
      </c>
      <c r="L88" s="49" t="inlineStr">
        <is>
          <t>Purple United Kids Boys Trousers in Black with Tailored Fit &amp; Comfortable Fabric</t>
        </is>
      </c>
      <c r="M88" s="51" t="inlineStr">
        <is>
          <t>*SMART TAILORED FIT: Designed with a clean straight silhouette, these Kids Boys Trousers deliver a polished and structured look. The tailored shape provides a neat appearance while allowing comfortable movement for everyday wear.
*PREMIUM COMFORT FABRIC: Crafted in soft breathable fabric, these Kids Boys Trousers feel gentle on the skin. The lightweight construction ensures lasting comfort, making them suitable for long hours of wear.
*SIGNATURE POCKET DETAILING: Contrast stripe accents on the back pockets add a refined and premium touch. These Kids Boys Trousers combine subtle styling with a smart and elevated finish.
*SECURE BUTTON WAISTBAND: The structured waistband with button closure ensures a secure and comfortable fit. These Kids Boys Trousers stay neatly in place while supporting easy movement.
*FUNCTIONAL SMART POCKETS: Thoughtfully placed pockets enhance usability while maintaining a clean look. These Kids Boys Trousers offer practicality without compromising on style.
*VERSATILE SMART CASUAL STYLE: Perfect for casual outings, celebrations, and everyday dressing, these Kids Boys Trousers pair effortlessly with shirts, polos, and t-shirts for a complete smart look.</t>
        </is>
      </c>
      <c r="N88" s="48" t="inlineStr">
        <is>
          <t>Designed for smart everyday dressing, these Kids Boys Trousers from Purple United combine a clean tailored look with comfortable wearability. The structured silhouette offers a polished appearance, making them suitable for casual outings, celebrations, and smart everyday styling. Subtle contrast pocket detailing adds a refined touch, enhancing the premium appeal while keeping the design minimal and versatile.
Crafted in soft and breathable fabric, these Kids Boys Trousers provide lasting comfort for all-day wear. The lightweight construction allows easy movement, while the structured waistband with button closure ensures a secure and neat fit. Functional pockets add practicality without interrupting the clean silhouette, making them ideal for regular use.
These Kids Boys Trousers pair effortlessly with shirts, polos, and t-shirts, creating a versatile wardrobe essential. Designed for comfort and style, they offer a balanced combination of smart tailoring, ease of movement, and premium Purple United detailing for everyday wear.</t>
        </is>
      </c>
    </row>
    <row r="89">
      <c r="A89" s="42" t="n"/>
      <c r="B89" s="34" t="inlineStr">
        <is>
          <t>PBTRHS002927</t>
        </is>
      </c>
      <c r="C89" s="34" t="inlineStr">
        <is>
          <t>APPAREL</t>
        </is>
      </c>
      <c r="D89" s="34" t="inlineStr">
        <is>
          <t>TROUSERS</t>
        </is>
      </c>
      <c r="E89" s="34" t="inlineStr">
        <is>
          <t>KIDS BOYS</t>
        </is>
      </c>
      <c r="F89" s="34" t="inlineStr">
        <is>
          <t>NAVY BLUE</t>
        </is>
      </c>
      <c r="G89" s="34" t="inlineStr">
        <is>
          <t>PBTRHS002927-NAVY BLUE</t>
        </is>
      </c>
      <c r="H89" s="49" t="inlineStr">
        <is>
          <t>Purple United Kids Boys Trousers with Tailored Smart Fit | Premium Button Waistband | Contrast Pocket Detail | Soft Comfortable Fabric &amp; Clean Straight Silhouette | Smart Casual Trousers for Boys</t>
        </is>
      </c>
      <c r="I89" s="48" t="inlineStr">
        <is>
          <t>Boys Casual Cotton Trousers</t>
        </is>
      </c>
      <c r="J89" s="49" t="inlineStr">
        <is>
          <t>Kids Boys Tailored Fit, Smart Pocket Styling &amp; Comfortable Fabric Navy Blue Trousers</t>
        </is>
      </c>
      <c r="K89" s="49" t="inlineStr">
        <is>
          <t>Kids Boys Trousers in Navy Blue with Tailored Fit, Smart Pocket Styling &amp; Comfort Fabric</t>
        </is>
      </c>
      <c r="L89" s="49" t="inlineStr">
        <is>
          <t>Purple United Kids Boys Trousers in Navy Blue with Tailored Fit &amp; Comfortable Fabric</t>
        </is>
      </c>
      <c r="M89" s="51" t="inlineStr">
        <is>
          <t>*SMART TAILORED FIT: Designed with a clean straight silhouette, these Kids Boys Trousers deliver a polished and structured look. The tailored shape provides a neat appearance while allowing comfortable movement for everyday wear.
*PREMIUM COMFORT FABRIC: Crafted in soft breathable fabric, these Kids Boys Trousers feel gentle on the skin. The lightweight construction ensures lasting comfort, making them suitable for long hours of wear.
*SIGNATURE POCKET DETAILING: Contrast stripe accents on the back pockets add a refined and premium touch. These Kids Boys Trousers combine subtle styling with a smart and elevated finish.
*SECURE BUTTON WAISTBAND: The structured waistband with button closure ensures a secure and comfortable fit. These Kids Boys Trousers stay neatly in place while supporting easy movement.
*FUNCTIONAL SMART POCKETS: Thoughtfully placed pockets enhance usability while maintaining a clean look. These Kids Boys Trousers offer practicality without compromising on style.
*VERSATILE SMART CASUAL STYLE: Perfect for casual outings, celebrations, and everyday dressing, these Kids Boys Trousers pair effortlessly with shirts, polos, and t-shirts for a complete smart look.</t>
        </is>
      </c>
      <c r="N89" s="48" t="inlineStr">
        <is>
          <t>Designed for smart everyday dressing, these Kids Boys Trousers from Purple United combine a clean tailored look with comfortable wearability. The structured silhouette offers a polished appearance, making them suitable for casual outings, celebrations, and smart everyday styling. Subtle contrast pocket detailing adds a refined touch, enhancing the premium appeal while keeping the design minimal and versatile.
Crafted in soft and breathable fabric, these Kids Boys Trousers provide lasting comfort for all-day wear. The lightweight construction allows easy movement, while the structured waistband with button closure ensures a secure and neat fit. Functional pockets add practicality without interrupting the clean silhouette, making them ideal for regular use.
These Kids Boys Trousers pair effortlessly with shirts, polos, and t-shirts, creating a versatile wardrobe essential. Designed for comfort and style, they offer a balanced combination of smart tailoring, ease of movement, and premium Purple United detailing for everyday wear.</t>
        </is>
      </c>
    </row>
    <row r="90">
      <c r="A90" s="42" t="n"/>
      <c r="B90" s="34" t="inlineStr">
        <is>
          <t>PBTRHS002927</t>
        </is>
      </c>
      <c r="C90" s="34" t="inlineStr">
        <is>
          <t>APPAREL</t>
        </is>
      </c>
      <c r="D90" s="34" t="inlineStr">
        <is>
          <t>TROUSERS</t>
        </is>
      </c>
      <c r="E90" s="34" t="inlineStr">
        <is>
          <t>KIDS BOYS</t>
        </is>
      </c>
      <c r="F90" s="34" t="inlineStr">
        <is>
          <t>OLIVE</t>
        </is>
      </c>
      <c r="G90" s="34" t="inlineStr">
        <is>
          <t>PBTRHS002927-OLIVE</t>
        </is>
      </c>
      <c r="H90" s="49" t="inlineStr">
        <is>
          <t>Purple United Kids Boys Trousers with Tailored Smart Fit | Premium Button Waistband | Contrast Pocket Detail | Soft Comfortable Fabric &amp; Clean Straight Silhouette | Smart Casual Trousers for Boys</t>
        </is>
      </c>
      <c r="I90" s="48" t="inlineStr">
        <is>
          <t>Boys Olive Cotton Trousers</t>
        </is>
      </c>
      <c r="J90" s="49" t="inlineStr">
        <is>
          <t>Kids Boys Tailored Fit, Smart Pocket Styling &amp; Comfortable Fabric Olive Trousers</t>
        </is>
      </c>
      <c r="K90" s="49" t="inlineStr">
        <is>
          <t>Kids Boys Trousers in Olive with Tailored Fit, Smart Pocket Styling &amp; Comfort Fabric</t>
        </is>
      </c>
      <c r="L90" s="49" t="inlineStr">
        <is>
          <t>Purple United Kids Boys Trousers in Olive with Tailored Fit &amp; Comfortable Fabric</t>
        </is>
      </c>
      <c r="M90" s="51" t="inlineStr">
        <is>
          <t>*SMART TAILORED FIT: Designed with a clean straight silhouette, these Kids Boys Trousers deliver a polished and structured look. The tailored shape provides a neat appearance while allowing comfortable movement for everyday wear.
*PREMIUM COMFORT FABRIC: Crafted in soft breathable fabric, these Kids Boys Trousers feel gentle on the skin. The lightweight construction ensures lasting comfort, making them suitable for long hours of wear.
*SIGNATURE POCKET DETAILING: Contrast stripe accents on the back pockets add a refined and premium touch. These Kids Boys Trousers combine subtle styling with a smart and elevated finish.
*SECURE BUTTON WAISTBAND: The structured waistband with button closure ensures a secure and comfortable fit. These Kids Boys Trousers stay neatly in place while supporting easy movement.
*FUNCTIONAL SMART POCKETS: Thoughtfully placed pockets enhance usability while maintaining a clean look. These Kids Boys Trousers offer practicality without compromising on style.
*VERSATILE SMART CASUAL STYLE: Perfect for casual outings, celebrations, and everyday dressing, these Kids Boys Trousers pair effortlessly with shirts, polos, and t-shirts for a complete smart look.</t>
        </is>
      </c>
      <c r="N90" s="48" t="inlineStr">
        <is>
          <t>Designed for smart everyday dressing, these Kids Boys Trousers from Purple United combine a clean tailored look with comfortable wearability. The structured silhouette offers a polished appearance, making them suitable for casual outings, celebrations, and smart everyday styling. Subtle contrast pocket detailing adds a refined touch, enhancing the premium appeal while keeping the design minimal and versatile.
Crafted in soft and breathable fabric, these Kids Boys Trousers provide lasting comfort for all-day wear. The lightweight construction allows easy movement, while the structured waistband with button closure ensures a secure and neat fit. Functional pockets add practicality without interrupting the clean silhouette, making them ideal for regular use.
These Kids Boys Trousers pair effortlessly with shirts, polos, and t-shirts, creating a versatile wardrobe essential. Designed for comfort and style, they offer a balanced combination of smart tailoring, ease of movement, and premium Purple United detailing for everyday wear.</t>
        </is>
      </c>
    </row>
    <row r="91">
      <c r="A91" s="42" t="n"/>
      <c r="B91" s="34" t="inlineStr">
        <is>
          <t>PBPOHS002797</t>
        </is>
      </c>
      <c r="C91" s="34" t="inlineStr">
        <is>
          <t>APPAREL</t>
        </is>
      </c>
      <c r="D91" s="34" t="inlineStr">
        <is>
          <t>POLO T-SHIRT</t>
        </is>
      </c>
      <c r="E91" s="34" t="inlineStr">
        <is>
          <t>KIDS BOYS</t>
        </is>
      </c>
      <c r="F91" s="34" t="inlineStr">
        <is>
          <t>TEAL</t>
        </is>
      </c>
      <c r="G91" s="34" t="inlineStr">
        <is>
          <t>PBPOHS002797-TEAL</t>
        </is>
      </c>
      <c r="H91" s="49" t="inlineStr">
        <is>
          <t>Purple United Kids Boys Polo Tshirt with Tipped Collar | Soft Breathable Fabric | Button Placket | Short Sleeves &amp; Smart Casual Everyday Styling Premium Polo Tshirt for Boys</t>
        </is>
      </c>
      <c r="I91" s="48" t="inlineStr">
        <is>
          <t>Kids Boys Polo Tshirt</t>
        </is>
      </c>
      <c r="J91" s="49" t="inlineStr">
        <is>
          <t>Purple United Kids Boys Tipped Collar Breathable Fabric Casual Styling Teal Polo Tshirt</t>
        </is>
      </c>
      <c r="K91" s="49" t="inlineStr">
        <is>
          <t>Kids Polo Tshirt in Teal with Tipped Collar, Soft Breathable Fabric &amp; Smart Casual Styling for Boys</t>
        </is>
      </c>
      <c r="L91" s="49" t="inlineStr">
        <is>
          <t>Purple United Kids Boys Polo Tshirt in Teal with Soft Fabric For Everyday Wear</t>
        </is>
      </c>
      <c r="M91" s="51" t="inlineStr">
        <is>
          <t>*PREMIUM POLO COLLAR DESIGN: This Kids Polo tshirt features a structured tipped collar that adds a refined, polished look. It enhances overall styling, making it suitable for smart casual wear and elevated everyday dressing.
*SOFT BREATHABLE FABRIC: Crafted from soft breathable fabric, this Kids Polo tshirt ensures all-day comfort. The lightweight feel keeps it gentle on skin while allowing easy movement, making it perfect for active daily wear.
*CLASSIC BUTTON PLACKET: Designed with a neat button placket, this Kids Polo tshirt delivers timeless polo styling. It offers easy wearability while maintaining a structured look, adding both functionality and style to everyday outfits.
*SMART SHORT SLEEVE STYLING: The short sleeve design of this Kids Polo tshirt enhances comfort and breathability. It creates a clean, modern look, making it suitable for both casual outings and slightly dressed-up occasions.
*VERSATILE SMART CASUAL WEAR: This Kids Polo tshirt pairs effortlessly with jeans, trousers, and shorts. Its versatile design makes it an essential wardrobe piece, suitable for everyday wear, outings, and occasions requiring a smart look.</t>
        </is>
      </c>
      <c r="N91" s="48" t="inlineStr">
        <is>
          <t>Designed for smart everyday dressing, this Kids Polo tshirt from Purple United Kids blends classic polo styling with modern comfort. The structured collar with contrast tipping enhances the refined look, while the clean silhouette keeps the design versatile for multiple occasions. A neat button placket adds to the timeless appeal, and subtle chest branding delivers a premium finish, making this Kids Polo tshirt suitable for both casual outings and slightly dressed-up moments. The short sleeve construction ensures ease of movement and adds to the breathable feel, helping kids stay comfortable throughout the day.
Crafted from soft and breathable fabric, this Kids Polo tshirt offers a smooth feel on the skin and supports all-day wear. The lightweight build helps maintain comfort during active routines, while the structured design keeps the look polished. Easy to pair with jeans, trousers, or shorts, this Kids Polo tshirt works as a versatile wardrobe essential. Combining comfort, smart styling, and premium Purple United detailing, this Kids Polo tshirt is designed to deliver everyday ease with a refined finish.</t>
        </is>
      </c>
    </row>
    <row r="92">
      <c r="A92" s="42" t="n"/>
      <c r="B92" s="47" t="inlineStr">
        <is>
          <t>TGBAFW000852</t>
        </is>
      </c>
      <c r="C92" s="47" t="inlineStr">
        <is>
          <t>FOOTWEAR</t>
        </is>
      </c>
      <c r="D92" s="34" t="inlineStr">
        <is>
          <t>BALLERINAS</t>
        </is>
      </c>
      <c r="E92" s="34" t="inlineStr">
        <is>
          <t>GIRLS</t>
        </is>
      </c>
      <c r="F92" s="47" t="inlineStr">
        <is>
          <t>METALLIC GREEN</t>
        </is>
      </c>
      <c r="G92" s="43" t="inlineStr">
        <is>
          <t>TGBAFW000852-METALLIC GREEN</t>
        </is>
      </c>
      <c r="H92" s="46" t="inlineStr">
        <is>
          <t>Toothless Kids Girls Ballerinas with Elegant Bow Detail | Soft Cushioned Insole | Flexible Sole &amp; Secure Comfort Fit | Stylish Ballerina Ballet Flats for Girls</t>
        </is>
      </c>
      <c r="I92" s="46" t="inlineStr">
        <is>
          <t>Kids Girls Green Ballerinas</t>
        </is>
      </c>
      <c r="J92" s="46" t="inlineStr">
        <is>
          <t>Kids Girls Green Bow Detail Cushioned Comfort Fit Lightweight Occasion Wear Ballerinas</t>
        </is>
      </c>
      <c r="K92" s="46" t="inlineStr">
        <is>
          <t>Kids Girls Ballerinas in Metallic Green with Bow Detail, Cushioned Comfort Fit for Occasion Wear</t>
        </is>
      </c>
      <c r="L92" s="46" t="inlineStr">
        <is>
          <t>Toothless Kids Girls Ballerinas in Metallic Green with Cushioned Comfort Fit</t>
        </is>
      </c>
      <c r="M92" s="45" t="inlineStr">
        <is>
          <t>*SIGNATURE BOW DETAIL: A beautifully crafted bow enhances the look of these ballerina shoes for girls, adding charm and a refined finish to these elegant bellies for girls, making them stylish and eye-catching.
*SOFT CUSHIONED COMFORT: Designed with a smooth inner lining and cushioned footbed, these ballerinas for girls ensure lasting comfort, making them ideal flats for girls for all-day wear across multiple occasions.
*FLEXIBLE &amp; EASY MOVEMENT: The lightweight, flexible sole supports natural movement, making these ballet flats girls perfect for active routines, daily wear, and comfortable walking without restricting movement or flexibility.
*DURABLE &amp; THOUGHTFUL BUILD: Crafted with attention to detail, these kids footwear for girls offer durability and a secure fit, ensuring reliability for everyday use while maintaining a neat, premium finish.
*PERFECT FOR EVERY OCCASION: From casual outings to celebrations, these ballerinas for kids girls are designed to complement multiple looks effortlessly, adding elegance and versatility to modern kids footwear wardrobes.</t>
        </is>
      </c>
      <c r="N92" s="46" t="inlineStr">
        <is>
          <t>Add a touch of shine to everyday styling with Tooothless Girls Ballerinas, designed to blend elegance with all-day comfort. These premium ballerina shoes for girls come in a soft color finish, offering a subtle shimmer that elevates both casual and occasion looks.
Crafted for comfort, these ballerinas for girls feature a smooth inner lining and cushioned footbed, ensuring a gentle feel with every step. The flexible sole supports natural movement, making them ideal flats for girls for daily wear, outings, and special moments.
The standout bow detail on the front adds a refined, playful charm, making these bellies for girls both stylish and easy to pair with dresses, denims, or party outfits. Designed with a secure fit and durable construction, these kids footwear for girls provide long-lasting comfort without compromising on style.
Perfect as ballet flats girls and versatile ballerinas for kids girls, this pair reflects Purple United’s commitment to modern design, comfort, and premium quality in everyday kids girls footwear.</t>
        </is>
      </c>
    </row>
    <row r="93">
      <c r="A93" s="42" t="n"/>
      <c r="B93" s="34" t="inlineStr">
        <is>
          <t>PGTSFS003154</t>
        </is>
      </c>
      <c r="C93" s="34" t="inlineStr">
        <is>
          <t>APPAREL</t>
        </is>
      </c>
      <c r="D93" s="47" t="inlineStr">
        <is>
          <t>T-SHIRT</t>
        </is>
      </c>
      <c r="E93" s="34" t="inlineStr">
        <is>
          <t>GIRLS</t>
        </is>
      </c>
      <c r="F93" s="34" t="inlineStr">
        <is>
          <t>BLACK</t>
        </is>
      </c>
      <c r="G93" s="34" t="inlineStr">
        <is>
          <t>PGTSFS003154-BLACK</t>
        </is>
      </c>
      <c r="H93" s="49" t="inlineStr">
        <is>
          <t>Purple United Kids Girls Tshirt with Full Sleeves | Soft Stretch Fabric | Clean Silhouette | Comfortable Fit | Lightweight Stylish Tshirt for Girls | Smart Casual Everyday Kids Wear</t>
        </is>
      </c>
      <c r="I93" s="48" t="inlineStr">
        <is>
          <t>Kids Girls Full Sleeves Tshirt</t>
        </is>
      </c>
      <c r="J93" s="49" t="inlineStr">
        <is>
          <t>Kids Girls Black Soft Comfort Fabric Smart Casual Styling Full Sleeves Tshirt</t>
        </is>
      </c>
      <c r="K93" s="49" t="inlineStr">
        <is>
          <t>Kids Tshirt For Girls in Black with Soft Comfort Fabric, Perfect for Smart Casual Styling</t>
        </is>
      </c>
      <c r="L93" s="49" t="inlineStr">
        <is>
          <t>Purple United Kids Girls Tshirt with Soft Stretch Comfort Fabric &amp; Full Sleeves</t>
        </is>
      </c>
      <c r="M93" s="51" t="inlineStr">
        <is>
          <t>*SOFT STRETCH COMFORT: Crafted with soft stretch fabric, this TShirt for Girls allows flexible movement and lasting comfort. The smooth texture feels gentle on skin, making it suitable for long hours of wear.
*FULL SLEEVE ELEVATED STYLE: The full sleeve construction adds a refined and slightly dressy touch. This Kids Girls Tshirt offers comfortable coverage while maintaining a stylish look suitable for both casual and occasion wear.
*LIGHTWEIGHT EVERYDAY WEAR: Designed with a lightweight feel, this T Shirt for Girls supports easy movement. The breathable construction keeps it comfortable, making it ideal for everyday use and extended wear.
*NEAT FINISHED NECKLINE: The clean neckline enhances the structured look of this Kids Girls Tshirt. It maintains shape while ensuring comfort, adding to the polished and premium overall appearance.
*EASY STYLE VERSATILITY: This TShirt for Girls pairs effortlessly with jeans, skirts, and trousers. The versatile styling makes it suitable for casual outings, layered looks, and everyday fashion combinations.</t>
        </is>
      </c>
      <c r="N93" s="48" t="inlineStr">
        <is>
          <t>Designed for stylish everyday dressing, this Kids Girls Tshirt from Purple United Kids blends a clean silhouette with premium comfort. The minimal yet refined design creates a polished look, making it suitable for casual outings, celebrations, and elevated everyday wear. The structured shape ensures a neat fall, while the full sleeve styling adds a slightly dressy touch without compromising comfort.
Crafted in soft stretch fabric, this TShirt for Girls offers a smooth feel on the skin and allows easy movement throughout the day. The lightweight construction enhances breathability, helping maintain comfort during long hours of wear. A clean finished neckline adds to the structured appearance, giving this piece a refined and modern look.
This Kids Girls Tshirt pairs effortlessly with jeans, skirts, and trousers, making it a versatile wardrobe essential. Perfect for smart casual styling, this Tshirt for Girls combines comfort, flexibility, and premium Purple United detailing for everyday fashion.</t>
        </is>
      </c>
    </row>
    <row r="94">
      <c r="A94" s="42" t="n"/>
      <c r="B94" s="34" t="inlineStr">
        <is>
          <t>PGTSFS003155</t>
        </is>
      </c>
      <c r="C94" s="34" t="inlineStr">
        <is>
          <t>APPAREL</t>
        </is>
      </c>
      <c r="D94" s="47" t="inlineStr">
        <is>
          <t>T-SHIRT</t>
        </is>
      </c>
      <c r="E94" s="34" t="inlineStr">
        <is>
          <t>GIRLS</t>
        </is>
      </c>
      <c r="F94" s="34" t="inlineStr">
        <is>
          <t>WHITE</t>
        </is>
      </c>
      <c r="G94" s="34" t="inlineStr">
        <is>
          <t>PGTSFS003154-WHITE</t>
        </is>
      </c>
      <c r="H94" s="49" t="inlineStr">
        <is>
          <t>Purple United Kids Girls Tshirt with Full Sleeves | Soft Stretch Fabric | Clean Silhouette | Comfortable Fit | Lightweight Stylish Tshirt for Girls | Smart Casual Everyday Kids Wear</t>
        </is>
      </c>
      <c r="I94" s="48" t="inlineStr">
        <is>
          <t>Kids Girls Full Sleeves Tshirt</t>
        </is>
      </c>
      <c r="J94" s="49" t="inlineStr">
        <is>
          <t>Kids Girls White Soft Comfort Fabric Smart Casual Styling Full Sleeves Tshirt</t>
        </is>
      </c>
      <c r="K94" s="49" t="inlineStr">
        <is>
          <t>Kids Tshirt For Girls in White with Soft Comfort Fabric, Perfect for Smart Casual Styling</t>
        </is>
      </c>
      <c r="L94" s="49" t="inlineStr">
        <is>
          <t>Purple United Kids Girls Tshirt with Soft Stretch Comfort Fabric &amp; Full Sleeves</t>
        </is>
      </c>
      <c r="M94" s="51" t="inlineStr">
        <is>
          <t>*SOFT STRETCH COMFORT: Crafted with soft stretch fabric, this TShirt for Girls allows flexible movement and lasting comfort. The smooth texture feels gentle on skin, making it suitable for long hours of wear.
*FULL SLEEVE ELEVATED STYLE: The full sleeve construction adds a refined and slightly dressy touch. This Kids Girls Tshirt offers comfortable coverage while maintaining a stylish look suitable for both casual and occasion wear.
*LIGHTWEIGHT EVERYDAY WEAR: Designed with a lightweight feel, this T Shirt for Girls supports easy movement. The breathable construction keeps it comfortable, making it ideal for everyday use and extended wear.
*NEAT FINISHED NECKLINE: The clean neckline enhances the structured look of this Kids Girls Tshirt. It maintains shape while ensuring comfort, adding to the polished and premium overall appearance.
*EASY STYLE VERSATILITY: This TShirt for Girls pairs effortlessly with jeans, skirts, and trousers. The versatile styling makes it suitable for casual outings, layered looks, and everyday fashion combinations.</t>
        </is>
      </c>
      <c r="N94" s="48" t="inlineStr">
        <is>
          <t>Designed for stylish everyday dressing, this Kids Girls Tshirt from Purple United Kids blends a clean silhouette with premium comfort. The minimal yet refined design creates a polished look, making it suitable for casual outings, celebrations, and elevated everyday wear. The structured shape ensures a neat fall, while the full sleeve styling adds a slightly dressy touch without compromising comfort.
Crafted in soft stretch fabric, this TShirt for Girls offers a smooth feel on the skin and allows easy movement throughout the day. The lightweight construction enhances breathability, helping maintain comfort during long hours of wear. A clean finished neckline adds to the structured appearance, giving this piece a refined and modern look.
This Kids Girls Tshirt pairs effortlessly with jeans, skirts, and trousers, making it a versatile wardrobe essential. Perfect for smart casual styling, this Tshirt for Girls combines comfort, flexibility, and premium Purple United detailing for everyday fashion.</t>
        </is>
      </c>
    </row>
    <row r="95">
      <c r="A95" s="42" t="n"/>
      <c r="B95" s="34" t="inlineStr">
        <is>
          <t>PGTOPS002846</t>
        </is>
      </c>
      <c r="C95" s="34" t="inlineStr">
        <is>
          <t>APPAREL</t>
        </is>
      </c>
      <c r="D95" s="47" t="inlineStr">
        <is>
          <t>TOP</t>
        </is>
      </c>
      <c r="E95" s="47" t="inlineStr">
        <is>
          <t>KIDS GIRLS</t>
        </is>
      </c>
      <c r="F95" s="34" t="inlineStr">
        <is>
          <t>PINK</t>
        </is>
      </c>
      <c r="G95" s="34" t="inlineStr">
        <is>
          <t>PGTOPS002846-PINK</t>
        </is>
      </c>
      <c r="H95" s="49" t="inlineStr">
        <is>
          <t>Purple United Kids Girls Top with Puff Sleeve | Collared Shirt | Soft Breathable Fabric for Summer | Tie-Up Hem | Casual Kids Wear For All Day Comfort</t>
        </is>
      </c>
      <c r="I95" s="48" t="inlineStr">
        <is>
          <t>Kids Girls Pink Casual Top</t>
        </is>
      </c>
      <c r="J95" s="49" t="inlineStr">
        <is>
          <t>Kids Girls Pink Puff Sleeve Soft Breathable Fabric Everyday Casual Wear Top</t>
        </is>
      </c>
      <c r="K95" s="49" t="inlineStr">
        <is>
          <t>Kids Girls Top in Pink with Puff Sleeve, Breathable Fabric &amp; Tie-Up Hem for Daily Casual Kids Wear</t>
        </is>
      </c>
      <c r="L95" s="49" t="inlineStr">
        <is>
          <t>Purple United Kids Girls Top in Pink with Puff Sleeve Soft Fabric for Daily Wear</t>
        </is>
      </c>
      <c r="M95" s="51" t="inlineStr">
        <is>
          <t>*STRUCTURED COLLARED DESIGN: Designed with a clean shirt collar, this Top For Girls delivers a polished and smart look. The structured neckline enhances styling while maintaining comfort for casual outings and dressy moments.
*STYLISH PUFF SLEEVES: The puff sleeve construction adds volume and a fashion-forward silhouette to this Kids Girls Top. The gathered sleeve finish enhances comfort while creating a modern and stylish appearance.
*ADJUSTABLE TIE-UP HEM: Side tie-up detailing provides flexible styling and improves the overall fit. This Kids Girls Top offers a shaped silhouette while maintaining ease of movement for comfortable wear.
*LIGHTWEIGHT SUMMER FABRIC: Crafted from breathable lightweight fabric, this Top For Girls ensures comfort during warmer days. The soft feel supports long hours of wear while keeping styling clean and structured.
*SMART CASUAL STYLING: This Kids Girls Top pairs effortlessly with jeans, skirts, and shorts. The versatile design makes it suitable for outings, casual wear, and premium everyday styling.</t>
        </is>
      </c>
      <c r="N95" s="48" t="inlineStr">
        <is>
          <t>Elevate everyday styling with this premium Kids Girls Top from Purple United Kids, designed with refined stud embellishments that add a subtle yet elegant shine. The structured collared neckline enhances the polished look, while the clean button-down front creates a smart shirt-inspired silhouette. Puff sleeves with gentle gathers add volume and bring a stylish, fashion-forward element to the overall design, making this Top For Girls perfect for both casual outings and slightly dressy occasions.
Crafted in lightweight breathable fabric, this Kids Girls Top ensures comfortable wear throughout the day. The soft texture feels smooth on the skin, while the relaxed construction allows easy movement. Side tie-up detailing at the hem adds adjustability and creates a flattering shaped silhouette. Designed for versatile styling, this Top For Girls pairs effortlessly with jeans, skirts, and shorts. Combining premium detailing, modern styling, and comfort-focused construction, this Kids Girls Top reflects Purple United’s elevated kids</t>
        </is>
      </c>
    </row>
    <row r="96">
      <c r="A96" s="42" t="n"/>
      <c r="B96" s="34" t="inlineStr">
        <is>
          <t>PGTOPS002846</t>
        </is>
      </c>
      <c r="C96" s="34" t="inlineStr">
        <is>
          <t>APPAREL</t>
        </is>
      </c>
      <c r="D96" s="47" t="inlineStr">
        <is>
          <t>TOP</t>
        </is>
      </c>
      <c r="E96" s="47" t="inlineStr">
        <is>
          <t>KIDS GIRLS</t>
        </is>
      </c>
      <c r="F96" s="34" t="inlineStr">
        <is>
          <t>WHITE</t>
        </is>
      </c>
      <c r="G96" s="43" t="inlineStr">
        <is>
          <t>PGTOPS002846-WHITE</t>
        </is>
      </c>
      <c r="H96" s="49" t="inlineStr">
        <is>
          <t>Purple United Kids Girls Top with Puff Sleeve | Collared Shirt | Soft Breathable Fabric for Summer | Tie-Up Hem | Casual Kids Wear For All Day Comfort</t>
        </is>
      </c>
      <c r="I96" s="48" t="inlineStr">
        <is>
          <t>Kids Girls White Casual Top</t>
        </is>
      </c>
      <c r="J96" s="49" t="inlineStr">
        <is>
          <t>Kids Girls White Puff Sleeve Soft Breathable Fabric Everyday Casual Wear Top</t>
        </is>
      </c>
      <c r="K96" s="49" t="inlineStr">
        <is>
          <t>Kids Girls Top in White with Puff Sleeve, Breathable Fabric &amp; Tie-Up Hem for Daily Casual Kids Wear</t>
        </is>
      </c>
      <c r="L96" s="49" t="inlineStr">
        <is>
          <t>Purple United Kids Girls Top in White with Puff Sleeve Soft Fabric for Daily Wear</t>
        </is>
      </c>
      <c r="M96" s="51" t="inlineStr">
        <is>
          <t>*STRUCTURED COLLARED DESIGN: Designed with a clean shirt collar, this Top For Girls delivers a polished and smart look. The structured neckline enhances styling while maintaining comfort for casual outings and dressy moments.
*STYLISH PUFF SLEEVES: The puff sleeve construction adds volume and a fashion-forward silhouette to this Kids Girls Top. The gathered sleeve finish enhances comfort while creating a modern and stylish appearance.
*ADJUSTABLE TIE-UP HEM: Side tie-up detailing provides flexible styling and improves the overall fit. This Kids Girls Top offers a shaped silhouette while maintaining ease of movement for comfortable wear.
*LIGHTWEIGHT SUMMER FABRIC: Crafted from breathable lightweight fabric, this Top For Girls ensures comfort during warmer days. The soft feel supports long hours of wear while keeping styling clean and structured.
*SMART CASUAL STYLING: This Kids Girls Top pairs effortlessly with jeans, skirts, and shorts. The versatile design makes it suitable for outings, casual wear, and premium everyday styling.</t>
        </is>
      </c>
      <c r="N96" s="48" t="inlineStr">
        <is>
          <t>Elevate everyday styling with this premium Kids Girls Top from Purple United Kids, designed with refined stud embellishments that add a subtle yet elegant shine. The structured collared neckline enhances the polished look, while the clean button-down front creates a smart shirt-inspired silhouette. Puff sleeves with gentle gathers add volume and bring a stylish, fashion-forward element to the overall design, making this Top For Girls perfect for both casual outings and slightly dressy occasions.
Crafted in lightweight breathable fabric, this Kids Girls Top ensures comfortable wear throughout the day. The soft texture feels smooth on the skin, while the relaxed construction allows easy movement. Side tie-up detailing at the hem adds adjustability and creates a flattering shaped silhouette. Designed for versatile styling, this Top For Girls pairs effortlessly with jeans, skirts, and shorts. Combining premium detailing, modern styling, and comfort-focused construction, this Kids Girls Top reflects Purple United’s elevated kids</t>
        </is>
      </c>
    </row>
    <row r="97">
      <c r="A97" s="42" t="n"/>
      <c r="B97" s="34" t="inlineStr">
        <is>
          <t>PGDNDA003008</t>
        </is>
      </c>
      <c r="C97" s="34" t="inlineStr">
        <is>
          <t>APPAREL</t>
        </is>
      </c>
      <c r="D97" s="34" t="inlineStr">
        <is>
          <t>DENIM</t>
        </is>
      </c>
      <c r="E97" s="34" t="inlineStr">
        <is>
          <t>KIDS GIRLS</t>
        </is>
      </c>
      <c r="F97" s="34" t="inlineStr">
        <is>
          <t>MID BLUE</t>
        </is>
      </c>
      <c r="G97" s="34" t="inlineStr">
        <is>
          <t>PGDNDA003008-MID BLUE</t>
        </is>
      </c>
      <c r="H97" s="49" t="inlineStr">
        <is>
          <t>Purple United Kids Girls Denim Dress | Adjustable Belted Waist | Collared Neck | Button Front | Soft Comfortable Fabric | Relaxed Feel Casual Styling Dress For Girls</t>
        </is>
      </c>
      <c r="I97" s="48" t="inlineStr">
        <is>
          <t>Kids Girls Denim Casual Dress</t>
        </is>
      </c>
      <c r="J97" s="48" t="inlineStr">
        <is>
          <t xml:space="preserve">Kids Girls Mid Blue Collared Neck Adjustable Belt Comfortable Fit Casual Denim Dress
</t>
        </is>
      </c>
      <c r="K97" s="49" t="inlineStr">
        <is>
          <t>Kids Girls Dress in Mid Blue Denim with Collared Neck, Adjustable Belt &amp; Comfortable Fit</t>
        </is>
      </c>
      <c r="L97" s="49" t="inlineStr">
        <is>
          <t>Purple United Kids Girls Denim Dress with Adjustable Belt &amp; Comfortable Fit</t>
        </is>
      </c>
      <c r="M97" s="51" t="inlineStr">
        <is>
          <t>*SHIRT STYLE SMART DESIGN: This Kids Girls Dress features a structured shirt style silhouette that creates a polished and modern look. The clean design makes it suitable for casual outings, everyday wear, and smart styling.
*ADJUSTABLE BELTED WAIST: Designed with a matching belt, this Kids Girls Dress offers a defined and adjustable fit. The belted waist enhances styling while maintaining comfort and easy movement.
*COLLARED NECK DETAIL: The classic collared neckline adds a refined touch to this Kids Girls Dress. It enhances the structured appearance and makes the dress suitable for both casual and slightly dressy occasions.
*SOFT COMFORTABLE DENIM: Crafted in soft lightweight denim, this Kids Girls Dress provides breathable comfort. The fabric supports easy movement and makes it suitable for long hours of wear.
*SMART CASUAL STYLING: This Kids Girls Dress pairs effortlessly with sneakers or sandals. The versatile design makes it ideal for outings, casual wear, and everyday styling.</t>
        </is>
      </c>
      <c r="N97" s="48" t="inlineStr">
        <is>
          <t>Designed for smart everyday styling, this Kids Girls Dress from Purple United Kids blends a classic shirt-style silhouette with comfortable denim wear. The collared neckline and button-front design create a polished look, making this dress for girls suitable for casual outings, smart everyday wear, and western dress styling. An adjustable belted waist enhances the overall fit while adding a stylish touch, creating a flattering shape without compromising comfort.
Crafted in soft lightweight denim, this kids girls dress ensures breathable comfort and easy movement for all-day wear. The structured yet comfortable construction makes it ideal as a girls casual wear dress and summer dress for girls. Functional styling and clean stitching enhance the premium finish, making it suitable for both daily wear and outings.
This Kids Girls Dress pairs effortlessly with sneakers, sandals, or casual footwear. Perfect as a western dress for girls and kids dress for girls, it offers versatile styling. Combining comfort, smart silhouette, and modern design, this girls dress delivers a refined everyday wardrobe essential.</t>
        </is>
      </c>
    </row>
    <row r="98">
      <c r="A98" s="42" t="n"/>
      <c r="B98" s="34" t="inlineStr">
        <is>
          <t>PGTOPS002847</t>
        </is>
      </c>
      <c r="C98" s="34" t="inlineStr">
        <is>
          <t>APPAREL</t>
        </is>
      </c>
      <c r="D98" s="34" t="inlineStr">
        <is>
          <t>TOP</t>
        </is>
      </c>
      <c r="E98" s="34" t="inlineStr">
        <is>
          <t>KIDS GIRLS</t>
        </is>
      </c>
      <c r="F98" s="34" t="inlineStr">
        <is>
          <t>YELLOW</t>
        </is>
      </c>
      <c r="G98" s="43" t="inlineStr">
        <is>
          <t>PGTOPS002847-YELLOW</t>
        </is>
      </c>
      <c r="H98" s="49" t="inlineStr">
        <is>
          <t>Purple United Kids Girls Top in Pique Fabric with Sleeveless &amp; Polo Collar Design | Breathable Summer Wear Styling | Lightweight Comfortable Fit | Casual Daily Kids Girls Wear</t>
        </is>
      </c>
      <c r="I98" s="48" t="inlineStr">
        <is>
          <t>Kids Girls Daily Casual Top</t>
        </is>
      </c>
      <c r="J98" s="49" t="inlineStr">
        <is>
          <t xml:space="preserve">Purple United Kids Girls Yellow Airy Fabric Polo Collar Sleeveless Casual Wear Top </t>
        </is>
      </c>
      <c r="K98" s="49" t="inlineStr">
        <is>
          <t>Kids Girls Top in Yellow with Breathable Fabric, Polo Collar &amp; Sleeveless Summer Wear</t>
        </is>
      </c>
      <c r="L98" s="49" t="inlineStr">
        <is>
          <t>Purple United Kids Girls Top in Yellow Soft Fabric with Sleeveless Polo Collar</t>
        </is>
      </c>
      <c r="M98" s="51" t="inlineStr">
        <is>
          <t>*SLEEVELESS SUMMER DESIGN: This Kids Girls Top features a sleeveless silhouette that enhances airflow and keeps the feel light. The comfortable construction supports easy movement, making it suitable for summer wear and everyday styling.
*TEXTURED PIQUE FABRIC: Crafted in breathable textured pique fabric, this Top For Girls offers a soft feel with lightweight comfort. The fabric helps maintain shape while ensuring easy wear for extended hours.
*LIGHTWEIGHT COMFORT FIT: Designed with a relaxed fit, this Kids Girls Top ensures comfortable wear. The lightweight construction supports movement and makes it ideal for active days and summer use.
*CLEAN HEM FINISH: The neatly finished hem enhances the overall look of this Top For Girls. It maintains a structured fall while keeping the styling minimal and premium.
*EASY SUMMER STYLING: This Kids Girls Top pairs effortlessly with shorts, skirts, and jeans. The versatile design makes it suitable for casual outings, travel, and everyday summer styling.</t>
        </is>
      </c>
      <c r="N98" s="48" t="inlineStr">
        <is>
          <t>Designed for warm-weather comfort and smart casual styling, this Kids Girls Top from Purple United Kids blends a clean silhouette with breathable construction. The sleeveless design enhances airflow and keeps the overall feel light, making it ideal for summer wear for girls. A structured polo collar adds a polished touch, giving this Top For Girls a refined look suitable for both casual outings and everyday dressing.
Crafted in textured pique fabric, this Kids Girls Top offers a soft feel with lightweight comfort. The breathable construction helps maintain ease during active movement, while the structured finish keeps the silhouette neat. The relaxed fit allows comfortable wear throughout the day, making it suitable for kids daily wear for girls and summer styling.
This Top For Girls pairs effortlessly with shorts, skirts, and jeans, creating versatile outfit options. Perfect as kids summer wear for girls, this Kids Girls Top combines smart styling, breathable comfort, and everyday usability, making it a practical and stylish wardrobe essential.</t>
        </is>
      </c>
    </row>
    <row r="99">
      <c r="A99" s="42" t="n"/>
      <c r="B99" s="34" t="inlineStr">
        <is>
          <t>PGTOPS002845</t>
        </is>
      </c>
      <c r="C99" s="34" t="inlineStr">
        <is>
          <t>APPAREL</t>
        </is>
      </c>
      <c r="D99" s="34" t="inlineStr">
        <is>
          <t>TOP</t>
        </is>
      </c>
      <c r="E99" s="34" t="inlineStr">
        <is>
          <t>KIDS GIRLS</t>
        </is>
      </c>
      <c r="F99" s="34" t="inlineStr">
        <is>
          <t>LT. BLUE</t>
        </is>
      </c>
      <c r="G99" s="34" t="inlineStr">
        <is>
          <t>PGTOPS002845-LT. BLUE</t>
        </is>
      </c>
      <c r="H99" s="49" t="inlineStr">
        <is>
          <t>Purple United Kids Girls Top | Breathable Cotton Fabric with Pleated Front Panel | Sleeveless Summer Wear | Lightweight Comfortable Fit for Stylish Kids Daily Wear</t>
        </is>
      </c>
      <c r="I99" s="48" t="inlineStr">
        <is>
          <t>Kids Girls Pleated Casual Top</t>
        </is>
      </c>
      <c r="J99" s="49" t="inlineStr">
        <is>
          <t>Kids Girls Light Blue Breathable Cotton Fabric Pleated Front Everyday Summer Styling Top</t>
        </is>
      </c>
      <c r="K99" s="49" t="inlineStr">
        <is>
          <t>Kids Girls Top in Light Blue Cotton Fabric with Pleated Front for Everyday Summer Styling</t>
        </is>
      </c>
      <c r="L99" s="49" t="inlineStr">
        <is>
          <t>Purple United Kids Girls Top in Light Blue Cotton for Casual Summer Styling</t>
        </is>
      </c>
      <c r="M99" s="51" t="inlineStr">
        <is>
          <t>*ELEGANT PLEATED FRONT DESIGN: This Kids Girls Top features a structured pleated front panel that adds texture and refined styling. The design enhances the overall look while keeping the silhouette lightweight and suitable for summer wear.
*SOFT LIGHTWEIGHT FABRIC: Crafted in breathable cotton fabric, this Top For Girls offers a soft feel and airy comfort. The lightweight construction supports all-day wear, making it ideal for kids summer wear for girls.
*SLEEVELESS SUMMER SILHOUETTE: Designed with a sleeveless structure, this Top For Girls improves airflow and allows easy movement. The relaxed feel makes it comfortable for warm-weather wear.
*COMFORTABLE DAILY WEAR FIT: This Kids Girls Top is designed for ease and movement. The comfortable fit supports active days, making it suitable for kids daily wear for girls.
*EASY VERSATILE STYLING: This Top For Girls pairs effortlessly with jeans, skirts, and shorts. The clean silhouette makes it suitable for casual outings, summer styling, and everyday wear.</t>
        </is>
      </c>
      <c r="N99" s="48" t="inlineStr">
        <is>
          <t>This Kids Girls Top from Purple United Kids combines refined detailing with lightweight summer comfort. Designed with a pleated front panel, this Top For Girls offers a structured yet soft appearance that enhances everyday styling. The delicate bow accents add a charming touch, making this Kids Girls Top suitable for casual outings and smart daily wear. The sleeveless silhouette improves airflow, keeping the design breathable and comfortable for warm days.
Crafted in soft cotton fabric, this Kids Girls Top delivers lightweight comfort and ease of movement. The breathable construction supports all-day wear, making it ideal for kids summer wear for girls and kids daily wear for girls. The clean silhouette ensures a neat fall while maintaining a relaxed feel. This Top For Girls pairs effortlessly with skirts, jeans, or shorts, making it a versatile wardrobe essential. Combining premium detailing, breathable comfort, and stylish appeal, this Kids Girls Top offers refined everyday wear.</t>
        </is>
      </c>
    </row>
    <row r="100">
      <c r="A100" s="42" t="n"/>
      <c r="B100" s="34" t="inlineStr">
        <is>
          <t>PGTOPS002846</t>
        </is>
      </c>
      <c r="C100" s="34" t="inlineStr">
        <is>
          <t>APPAREL</t>
        </is>
      </c>
      <c r="D100" s="34" t="inlineStr">
        <is>
          <t>TOP</t>
        </is>
      </c>
      <c r="E100" s="34" t="inlineStr">
        <is>
          <t>KIDS GIRLS</t>
        </is>
      </c>
      <c r="F100" s="34" t="inlineStr">
        <is>
          <t>LT. PINK</t>
        </is>
      </c>
      <c r="G100" s="34" t="inlineStr">
        <is>
          <t>PGTOPS002845-LT. PINK</t>
        </is>
      </c>
      <c r="H100" s="49" t="inlineStr">
        <is>
          <t>Purple United Kids Girls Top | Breathable Cotton Fabric with Pleated Front Panel | Sleeveless Summer Wear | Lightweight Comfortable Fit for Stylish Kids Daily Wear</t>
        </is>
      </c>
      <c r="I100" s="48" t="inlineStr">
        <is>
          <t>Kids Girls Pleated Casual Top</t>
        </is>
      </c>
      <c r="J100" s="49" t="inlineStr">
        <is>
          <t>Kids Girls Light Pink Breathable Cotton Fabric Pleated Front Everyday Summer Styling Top</t>
        </is>
      </c>
      <c r="K100" s="49" t="inlineStr">
        <is>
          <t>Kids Girls Top in Light Pink Cotton Fabric with Pleated Front for Everyday Summer Styling</t>
        </is>
      </c>
      <c r="L100" s="49" t="inlineStr">
        <is>
          <t>Purple United Kids Girls Top in Light Pink Cotton for Casual Summer Styling</t>
        </is>
      </c>
      <c r="M100" s="51" t="inlineStr">
        <is>
          <t>*ELEGANT PLEATED FRONT DESIGN: This Kids Girls Top features a structured pleated front panel that adds texture and refined styling. The design enhances the overall look while keeping the silhouette lightweight and suitable for summer wear.
*SOFT LIGHTWEIGHT FABRIC: Crafted in breathable cotton fabric, this Top For Girls offers a soft feel and airy comfort. The lightweight construction supports all-day wear, making it ideal for kids summer wear for girls.
*SLEEVELESS SUMMER SILHOUETTE: Designed with a sleeveless structure, this Top For Girls improves airflow and allows easy movement. The relaxed feel makes it comfortable for warm-weather wear.
*COMFORTABLE DAILY WEAR FIT: This Kids Girls Top is designed for ease and movement. The comfortable fit supports active days, making it suitable for kids daily wear for girls.
*EASY VERSATILE STYLING: This Top For Girls pairs effortlessly with jeans, skirts, and shorts. The clean silhouette makes it suitable for casual outings, summer styling, and everyday wear.</t>
        </is>
      </c>
      <c r="N100" s="48" t="inlineStr">
        <is>
          <t>This Kids Girls Top from Purple United Kids combines refined detailing with lightweight summer comfort. Designed with a pleated front panel, this Top For Girls offers a structured yet soft appearance that enhances everyday styling. The delicate bow accents add a charming touch, making this Kids Girls Top suitable for casual outings and smart daily wear. The sleeveless silhouette improves airflow, keeping the design breathable and comfortable for warm days.
Crafted in soft cotton fabric, this Kids Girls Top delivers lightweight comfort and ease of movement. The breathable construction supports all-day wear, making it ideal for kids summer wear for girls and kids daily wear for girls. The clean silhouette ensures a neat fall while maintaining a relaxed feel. This Top For Girls pairs effortlessly with skirts, jeans, or shorts, making it a versatile wardrobe essential. Combining premium detailing, breathable comfort, and stylish appeal, this Kids Girls Top offers refined everyday wear.</t>
        </is>
      </c>
    </row>
    <row r="101">
      <c r="A101" s="42" t="n"/>
      <c r="B101" s="34" t="inlineStr">
        <is>
          <t>PBTSHS003388</t>
        </is>
      </c>
      <c r="C101" s="34" t="inlineStr">
        <is>
          <t>APPAREL</t>
        </is>
      </c>
      <c r="D101" s="34" t="inlineStr">
        <is>
          <t>T-SHIRT</t>
        </is>
      </c>
      <c r="E101" s="34" t="inlineStr">
        <is>
          <t>KIDS BOYS</t>
        </is>
      </c>
      <c r="F101" s="34" t="inlineStr">
        <is>
          <t>RED</t>
        </is>
      </c>
      <c r="G101" s="34" t="inlineStr">
        <is>
          <t>PBTSHS003388-RED</t>
        </is>
      </c>
      <c r="H101" s="49" t="inlineStr">
        <is>
          <t>Purple United Kids Boys Tshirt with Graphic Print | Soft Breathable Cotton | Round Neck | Comfortable Regular Fit | Casual Wear Everyday Tshirt for Summers</t>
        </is>
      </c>
      <c r="I101" s="48" t="inlineStr">
        <is>
          <t>Kids Boys Red Casual Tshirt</t>
        </is>
      </c>
      <c r="J101" s="49" t="inlineStr">
        <is>
          <t xml:space="preserve">Kids Boys Red Graphic Print Soft Cotton Fabric Comfortable Casual Everyday Wear Tshirt </t>
        </is>
      </c>
      <c r="K101" s="49" t="inlineStr">
        <is>
          <t>Kids Boys Tshirt in Red with Soft Breathable Cotton for Comfortable Everyday Casual Wear</t>
        </is>
      </c>
      <c r="L101" s="49" t="inlineStr">
        <is>
          <t>Purple United Kids Boys Tshirt in Red with Soft Cotton for Everyday Casual Wear</t>
        </is>
      </c>
      <c r="M101" s="51" t="inlineStr">
        <is>
          <t>*BOLD GRAPHIC PRINT: This Kids Boys Tshirt features a Fantastic Day graphic print designed for standout everyday style. Perfect tshirt for boys, this boys tshirt adds playful character while keeping casual t shirt styling comfortable.
*SOFT BREATHABLE EVERYDAY COMFORT: Crafted for comfort, this tshirt for kids boys offers soft breathable fabric. The lightweight construction makes this boys t shirt suitable for daily wear, making it an ideal casual t shirt.
*LIGHTWEIGHT COMFORTABLE FIT DESIGN: This kids tshirt for boys provides a relaxed comfortable silhouette. Designed for movement, this t shirt for boys supports active routines while maintaining shape, making this boys tshirts option suitable.
*CLASSIC CASUAL CREW NECK STYLE: Designed with a clean neckline, this Kids Boys Tshirt delivers timeless casual t shirt appeal. The comfortable finish enhances durability, making this tshirt for boys reliable for everyday wear.
*VERSATILE DAILY WEAR STYLING: This kids boys tshirt pairs easily with jeans, shorts, or joggers. Ideal tshirt for boys, this boys t shirt supports everyday outfits while maintaining premium Purple United styling.</t>
        </is>
      </c>
      <c r="N101" s="48" t="inlineStr">
        <is>
          <t>Bring fresh style and everyday comfort with this Kids Boys Tshirt from Purple United Kids. Designed in a vibrant shade, this tshirt for boys features a bold Fantastic Day graphic that adds playful energy to casual outfits. This boys tshirt is crafted for daily wear, making it a comfortable casual t shirt choice for school, outings, and playtime. The soft breathable fabric offers lightweight comfort, ensuring this t shirt for kids boys feels easy throughout the day.
The relaxed silhouette allows natural movement, making this kids tshirt for boys suitable for active routines. Designed with a clean crew neck and smooth finish, this boys t shirt maintains shape while providing long-lasting comfort. The durable graphic enhances the overall look, making this t shirts for boys option stylish and practical.
This kids boys tshirt pairs easily with jeans, joggers, or shorts for versatile styling. Ideal as an everyday t shirt boys option, this tshirt for kids boys combines comfort, premium feel, and standout design for modern kids fashion.</t>
        </is>
      </c>
    </row>
    <row r="102">
      <c r="A102" s="42" t="n"/>
      <c r="B102" s="34" t="inlineStr">
        <is>
          <t>PBTSHS003389</t>
        </is>
      </c>
      <c r="C102" s="34" t="inlineStr">
        <is>
          <t>APPAREL</t>
        </is>
      </c>
      <c r="D102" s="34" t="inlineStr">
        <is>
          <t>T-SHIRT</t>
        </is>
      </c>
      <c r="E102" s="34" t="inlineStr">
        <is>
          <t>KIDS BOYS</t>
        </is>
      </c>
      <c r="F102" s="34" t="inlineStr">
        <is>
          <t>LT. GREEN</t>
        </is>
      </c>
      <c r="G102" s="34" t="inlineStr">
        <is>
          <t>PBTSHS003389-LT. GREEN</t>
        </is>
      </c>
      <c r="H102" s="49" t="inlineStr">
        <is>
          <t>Purple United Kids Boys Tshirt with Graphic Print | Soft Cotton | Breathable, Skin Friendly &amp; Lightweight Comfort Fit | Stretchable Neck Casual Everyday Wear for Boys</t>
        </is>
      </c>
      <c r="I102" s="48" t="inlineStr">
        <is>
          <t xml:space="preserve">Kids Boys Green Casual Tshirt </t>
        </is>
      </c>
      <c r="J102" s="35" t="inlineStr">
        <is>
          <t>Kids Boys Light Green Graphic Print Soft Cotton Fabric Comfortable Casual Wear Tshirt</t>
        </is>
      </c>
      <c r="K102" s="49" t="inlineStr">
        <is>
          <t>Kids Boys Tshirt in Light Green with Graphic Print &amp; Soft Cotton for Summer Casual Wear</t>
        </is>
      </c>
      <c r="L102" s="49" t="inlineStr">
        <is>
          <t>Purple United Kids Boys Tshirt in Light Green with Graphic &amp; Summer Soft Fabric</t>
        </is>
      </c>
      <c r="M102" s="51" t="inlineStr">
        <is>
          <t>*BOLD GRAPHIC PRINT: This Kids Boys Tshirt features a Fantastic Day graphic print designed for standout everyday style. Perfect tshirt for boys, this boys tshirt adds playful character while keeping casual t shirt styling comfortable.
*SOFT BREATHABLE EVERYDAY COMFORT: Crafted for comfort, this tshirt for kids boys offers soft breathable fabric. The lightweight construction makes this boys t shirt suitable for daily wear, making it an ideal casual t shirt.
*LIGHTWEIGHT COMFORTABLE FIT DESIGN: This kids tshirt for boys provides a relaxed comfortable silhouette. Designed for movement, this t shirt for boys supports active routines while maintaining shape, making this boys tshirts option suitable.
*CLASSIC CASUAL CREW NECK STYLE: Designed with a clean neckline, this Kids Boys Tshirt delivers timeless casual t shirt appeal. The comfortable finish enhances durability, making this tshirt for boys reliable for everyday wear.
*VERSATILE DAILY WEAR STYLING: This kids boys tshirt pairs easily with jeans, shorts, or joggers. Ideal tshirt for boys, this boys t shirt supports everyday outfits while maintaining premium Purple United styling.</t>
        </is>
      </c>
      <c r="N102" s="48" t="inlineStr">
        <is>
          <t>Bring fresh style and everyday comfort with this Kids Boys Tshirt from Purple United Kids. Designed in a vibrant shade, this tshirt for boys features a bold Fantastic Day graphic that adds playful energy to casual outfits. This boys tshirt is crafted for daily wear, making it a comfortable casual t shirt choice for school, outings, and playtime. The soft breathable fabric offers lightweight comfort, ensuring this t shirt for kids boys feels easy throughout the day.
The relaxed silhouette allows natural movement, making this kids tshirt for boys suitable for active routines. Designed with a clean crew neck and smooth finish, this boys t shirt maintains shape while providing long-lasting comfort. The durable graphic enhances the overall look, making this t shirts for boys option stylish and practical.
This kids boys tshirt pairs easily with jeans, joggers, or shorts for versatile styling. Ideal as an everyday t shirt boys option, this tshirt for kids boys combines comfort, premium feel, and standout design for modern kids fashion.</t>
        </is>
      </c>
    </row>
    <row r="103">
      <c r="A103" s="42" t="n"/>
      <c r="B103" s="34" t="inlineStr">
        <is>
          <t>PBTSHS003390</t>
        </is>
      </c>
      <c r="C103" s="34" t="inlineStr">
        <is>
          <t>APPAREL</t>
        </is>
      </c>
      <c r="D103" s="34" t="inlineStr">
        <is>
          <t>T-SHIRT</t>
        </is>
      </c>
      <c r="E103" s="34" t="inlineStr">
        <is>
          <t>KIDS BOYS</t>
        </is>
      </c>
      <c r="F103" s="34" t="inlineStr">
        <is>
          <t>WHITE</t>
        </is>
      </c>
      <c r="G103" s="34" t="inlineStr">
        <is>
          <t>PBTSHS003390-WHITE</t>
        </is>
      </c>
      <c r="H103" s="49" t="inlineStr">
        <is>
          <t>Purple United Kids Boys Tshirt with Graphic Print | Soft Cotton | Breathable, Skin Friendly &amp; Lightweight Comfort Fit | Stretchable Neck Casual Everyday Wear for Boys</t>
        </is>
      </c>
      <c r="I103" s="48" t="inlineStr">
        <is>
          <t>Kids Boys White Casual Tshirt</t>
        </is>
      </c>
      <c r="J103" s="48" t="inlineStr">
        <is>
          <t>Kids Boys White Graphic Print Soft Cotton Fabric Comfortable Casual Wear Tshirt</t>
        </is>
      </c>
      <c r="K103" s="49" t="inlineStr">
        <is>
          <t>Kids Boys Tshirt in White with Graphic Print &amp; Soft Cotton for Summer Casual Wear</t>
        </is>
      </c>
      <c r="L103" s="49" t="inlineStr">
        <is>
          <t>Purple United Kids Boys Tshirt in White with Graphic &amp; Summer Soft Cotton Fabric</t>
        </is>
      </c>
      <c r="M103" s="51" t="inlineStr">
        <is>
          <t>*BOLD GRAPHIC PRINT: This Kids Boys Tshirt features a Fantastic Day graphic print designed for standout everyday style. Perfect tshirt for boys, this boys tshirt adds playful character while keeping casual t shirt styling comfortable.
*SOFT BREATHABLE EVERYDAY COMFORT: Crafted for comfort, this tshirt for kids boys offers soft breathable fabric. The lightweight construction makes this boys t shirt suitable for daily wear, making it an ideal casual t shirt.
*LIGHTWEIGHT COMFORTABLE FIT DESIGN: This kids tshirt for boys provides a relaxed comfortable silhouette. Designed for movement, this t shirt for boys supports active routines while maintaining shape, making this boys tshirts option suitable.
*CLASSIC CASUAL CREW NECK STYLE: Designed with a clean neckline, this Kids Boys Tshirt delivers timeless casual t shirt appeal. The comfortable finish enhances durability, making this tshirt for boys reliable for everyday wear.
*VERSATILE DAILY WEAR STYLING: This kids boys tshirt pairs easily with jeans, shorts, or joggers. Ideal tshirt for boys, this boys t shirt supports everyday outfits while maintaining premium Purple United styling.</t>
        </is>
      </c>
      <c r="N103" s="48" t="inlineStr">
        <is>
          <t>Bring fresh style and everyday comfort with this Kids Boys Tshirt from Purple United Kids. Designed in a vibrant shade, this tshirt for boys features a bold Fantastic Day graphic that adds playful energy to casual outfits. This boys tshirt is crafted for daily wear, making it a comfortable casual t shirt choice for school, outings, and playtime. The soft breathable fabric offers lightweight comfort, ensuring this t shirt for kids boys feels easy throughout the day.
The relaxed silhouette allows natural movement, making this kids tshirt for boys suitable for active routines. Designed with a clean crew neck and smooth finish, this boys t shirt maintains shape while providing long-lasting comfort. The durable graphic enhances the overall look, making this t shirts for boys option stylish and practical.
This kids boys tshirt pairs easily with jeans, joggers, or shorts for versatile styling. Ideal as an everyday t shirt boys option, this tshirt for kids boys combines comfort, premium feel, and standout design for modern kids fashion.</t>
        </is>
      </c>
    </row>
    <row r="104">
      <c r="A104" s="42" t="n"/>
      <c r="B104" s="34" t="inlineStr">
        <is>
          <t>PBTSHS002793</t>
        </is>
      </c>
      <c r="C104" s="34" t="inlineStr">
        <is>
          <t>APPAREL</t>
        </is>
      </c>
      <c r="D104" s="34" t="inlineStr">
        <is>
          <t>T-SHIRT</t>
        </is>
      </c>
      <c r="E104" s="34" t="inlineStr">
        <is>
          <t>KIDS BOYS</t>
        </is>
      </c>
      <c r="F104" s="34" t="inlineStr">
        <is>
          <t>NAVY BLUE</t>
        </is>
      </c>
      <c r="G104" s="34" t="inlineStr">
        <is>
          <t>PBTSHS002793-NAVY BLUE</t>
        </is>
      </c>
      <c r="H104" s="49" t="inlineStr">
        <is>
          <t>Purple United Kids Boys Tshirt with Graphic Print | Soft Cotton | Breathable, Skin Friendly &amp; Lightweight Comfort Fit | Stretchable Neck Casual Everyday Wear for Boys</t>
        </is>
      </c>
      <c r="I104" s="48" t="inlineStr">
        <is>
          <t>Kids Boys Navy Blue Tshirt</t>
        </is>
      </c>
      <c r="J104" s="35" t="inlineStr">
        <is>
          <t>Kids Boys Navy Blue Graphic Print Soft Cotton Fabric Comfortable Casual Tshirt</t>
        </is>
      </c>
      <c r="K104" s="49" t="inlineStr">
        <is>
          <t>Kids Boys Tshirt in Navy Blue with Graphic Print &amp; Soft Cotton for Summer Casual Wear</t>
        </is>
      </c>
      <c r="L104" s="49" t="inlineStr">
        <is>
          <t>Purple United Kids Boys Tshirt in Navy Blue with Summer Soft Cotton Fabric</t>
        </is>
      </c>
      <c r="M104" s="51" t="inlineStr">
        <is>
          <t>*BOLD GRAPHIC PRINT: This Kids Boys Tshirt features a Fantastic Day graphic print designed for standout everyday style. Perfect tshirt for boys, this boys tshirt adds playful character while keeping casual t shirt styling comfortable.
*SOFT BREATHABLE EVERYDAY COMFORT: Crafted for comfort, this tshirt for kids boys offers soft breathable fabric. The lightweight construction makes this boys t shirt suitable for daily wear, making it an ideal casual t shirt.
*LIGHTWEIGHT COMFORTABLE FIT DESIGN: This kids tshirt for boys provides a relaxed comfortable silhouette. Designed for movement, this t shirt for boys supports active routines while maintaining shape, making this boys tshirts option suitable.
*CLASSIC CASUAL CREW NECK STYLE: Designed with a clean neckline, this Kids Boys Tshirt delivers timeless casual t shirt appeal. The comfortable finish enhances durability, making this tshirt for boys reliable for everyday wear.
*VERSATILE DAILY WEAR STYLING: This kids boys tshirt pairs easily with jeans, shorts, or joggers. Ideal tshirt for boys, this boys t shirt supports everyday outfits while maintaining premium Purple United styling.</t>
        </is>
      </c>
      <c r="N104" s="48" t="inlineStr">
        <is>
          <t>Bring fresh style and everyday comfort with this Kids Boys Tshirt from Purple United Kids. Designed in a vibrant shade, this tshirt for boys features a bold Fantastic Day graphic that adds playful energy to casual outfits. This boys tshirt is crafted for daily wear, making it a comfortable casual t shirt choice for school, outings, and playtime. The soft breathable fabric offers lightweight comfort, ensuring this t shirt for kids boys feels easy throughout the day.
The relaxed silhouette allows natural movement, making this kids tshirt for boys suitable for active routines. Designed with a clean crew neck and smooth finish, this boys t shirt maintains shape while providing long-lasting comfort. The durable graphic enhances the overall look, making this t shirts for boys option stylish and practical.
This kids boys tshirt pairs easily with jeans, joggers, or shorts for versatile styling. Ideal as an everyday t shirt boys option, this tshirt for kids boys combines comfort, premium feel, and standout design for modern kids fashion.</t>
        </is>
      </c>
    </row>
    <row r="105">
      <c r="A105" s="42" t="n"/>
      <c r="B105" s="34" t="inlineStr">
        <is>
          <t>PBTSHS003391</t>
        </is>
      </c>
      <c r="C105" s="34" t="inlineStr">
        <is>
          <t>APPAREL</t>
        </is>
      </c>
      <c r="D105" s="34" t="inlineStr">
        <is>
          <t>T-SHIRT</t>
        </is>
      </c>
      <c r="E105" s="34" t="inlineStr">
        <is>
          <t>KIDS BOYS</t>
        </is>
      </c>
      <c r="F105" s="34" t="inlineStr">
        <is>
          <t>DK. BROWN</t>
        </is>
      </c>
      <c r="G105" s="34" t="inlineStr">
        <is>
          <t>PBTSHS003391-DK. BROWN</t>
        </is>
      </c>
      <c r="H105" s="49" t="inlineStr">
        <is>
          <t>Purple United Kids Boys Tshirt with Graphic Print | Soft Cotton | Breathable, Skin Friendly &amp; Lightweight Comfort Fit | Stretchable Neck Casual Everyday Wear for Boys</t>
        </is>
      </c>
      <c r="I105" s="48" t="inlineStr">
        <is>
          <t>Kids Boys Dark Brown Tshirt</t>
        </is>
      </c>
      <c r="J105" s="35" t="inlineStr">
        <is>
          <t>Kids Boys Dark Brown Graphic Print Soft Cotton Fabric Comfortable Casual Tshirt</t>
        </is>
      </c>
      <c r="K105" s="49" t="inlineStr">
        <is>
          <t>Kids Boys Tshirt in Dark Brown with Graphic Print &amp; Soft Cotton for Summer Casual Wear</t>
        </is>
      </c>
      <c r="L105" s="49" t="inlineStr">
        <is>
          <t>Purple United Kids Boys Tshirt in Dark Brown with Summer Soft Cotton Fabric</t>
        </is>
      </c>
      <c r="M105" s="51" t="inlineStr">
        <is>
          <t>*BOLD GRAPHIC PRINT: This Kids Boys Tshirt features a Fantastic Day graphic print designed for standout everyday style. Perfect tshirt for boys, this boys tshirt adds playful character while keeping casual t shirt styling comfortable.
*SOFT BREATHABLE EVERYDAY COMFORT: Crafted for comfort, this tshirt for kids boys offers soft breathable fabric. The lightweight construction makes this boys t shirt suitable for daily wear, making it an ideal casual t shirt.
*LIGHTWEIGHT COMFORTABLE FIT DESIGN: This kids tshirt for boys provides a relaxed comfortable silhouette. Designed for movement, this t shirt for boys supports active routines while maintaining shape, making this boys tshirts option suitable.
*CLASSIC CASUAL CREW NECK STYLE: Designed with a clean neckline, this Kids Boys Tshirt delivers timeless casual t shirt appeal. The comfortable finish enhances durability, making this tshirt for boys reliable for everyday wear.
*VERSATILE DAILY WEAR STYLING: This kids boys tshirt pairs easily with jeans, shorts, or joggers. Ideal tshirt for boys, this boys t shirt supports everyday outfits while maintaining premium Purple United styling.</t>
        </is>
      </c>
      <c r="N105" s="48" t="inlineStr">
        <is>
          <t>Bring fresh style and everyday comfort with this Kids Boys Tshirt from Purple United Kids. Designed in a vibrant shade, this tshirt for boys features a bold Fantastic Day graphic that adds playful energy to casual outfits. This boys tshirt is crafted for daily wear, making it a comfortable casual t shirt choice for school, outings, and playtime. The soft breathable fabric offers lightweight comfort, ensuring this t shirt for kids boys feels easy throughout the day.
The relaxed silhouette allows natural movement, making this kids tshirt for boys suitable for active routines. Designed with a clean crew neck and smooth finish, this boys t shirt maintains shape while providing long-lasting comfort. The durable graphic enhances the overall look, making this t shirts for boys option stylish and practical.
This kids boys tshirt pairs easily with jeans, joggers, or shorts for versatile styling. Ideal as an everyday t shirt boys option, this tshirt for kids boys combines comfort, premium feel, and standout design for modern kids fashion.</t>
        </is>
      </c>
    </row>
    <row r="106">
      <c r="A106" s="42" t="n"/>
      <c r="B106" s="34" t="inlineStr">
        <is>
          <t>PGSKTS003411</t>
        </is>
      </c>
      <c r="C106" s="34" t="inlineStr">
        <is>
          <t>APPAREL</t>
        </is>
      </c>
      <c r="D106" s="34" t="inlineStr">
        <is>
          <t>SKIRT</t>
        </is>
      </c>
      <c r="E106" s="34" t="inlineStr">
        <is>
          <t>KIDS GIRLS</t>
        </is>
      </c>
      <c r="F106" s="34" t="inlineStr">
        <is>
          <t>BLACK</t>
        </is>
      </c>
      <c r="G106" s="34" t="inlineStr">
        <is>
          <t>PGSKTS003411-BLACK</t>
        </is>
      </c>
      <c r="H106" s="49" t="inlineStr">
        <is>
          <t>Purple United Kids Girls Skirt with Checked Tiered Ruffle Design | Soft Cotton Fabric| Elastic Waist Comfort | Lightweight Short Skirt | Girls Casual Everyday Active Wear</t>
        </is>
      </c>
      <c r="I106" s="48" t="inlineStr">
        <is>
          <t>Kids Girls Check Ruffle Skirt</t>
        </is>
      </c>
      <c r="J106" s="49" t="inlineStr">
        <is>
          <t>Kids Girls Black Checked Tiered Ruffle Cotton Comfort Elastic Waist Casual Wear Skirt</t>
        </is>
      </c>
      <c r="K106" s="49" t="inlineStr">
        <is>
          <t>Kids Girls Skirt in Black with Checked Tiered Ruffle &amp; Cotton Comfort Elastic Waist for Casual Wear</t>
        </is>
      </c>
      <c r="L106" s="49" t="inlineStr">
        <is>
          <t>Purple United Kids Girls Skirt in Black with Checked Ruffle &amp; Comfort Elastic Waist</t>
        </is>
      </c>
      <c r="M106" s="51" t="inlineStr">
        <is>
          <t>*PREMIUM CHECKED DESIGN: Classic dual color pattern enhances this Kids Girls Skirt with timeless appeal. Stylish skirt for girls adds charm to outfits, making this skirts girls option perfect for casual wear, outings, and everyday styling.
*TIERED RUFFLE SILHOUETTE: Layered ruffle construction creates volume and playful movement in this short skirt. Designed as skater skirt for girls, this kids girls skirt offers trendy style, making it ideal for summer clothes for girls.
*SOFT BREATHABLE COTTON FEEL: Lightweight cotton fabric keeps this skirt for girls comfortable throughout the day. Breathable design makes this kids girls skirt suitable for warm weather, delivering comfort for casual wear, outings, and daily activities.
*ELASTICATED COMFORT WAIST: Smocked elastic waistband ensures flexible fit and easy wear. This skirt for girls provides secure comfort, making this kids girls skirt ideal for active movement, playtime, and everyday kids wear girls styling.
*VERSATILE EVERYDAY STYLING: This Kids Girls Skirt pairs effortlessly with tops and tees. Stylish short skirt works across occasions, making this skirt for girls a versatile addition for casual dressing, travel wear, and modern kids wear girls outfits.</t>
        </is>
      </c>
      <c r="N106" s="48" t="inlineStr">
        <is>
          <t>Add playful charm to everyday styling with this Kids Girls Skirt from Purple United Kids. Designed in a classic checked pattern, this skirt for girls features a tiered ruffle silhouette that creates a twirl-ready and stylish look. The soft breathable fabric ensures lightweight comfort, making this short skirt ideal for daily wear, outings, and summer clothes for girls. The premium design enhances versatility, allowing this skirts girls option to pair easily with tops, tees, and casual outfits.
The elasticated smocked waistband offers a flexible and secure fit, ensuring easy wear and comfortable movement. This kids girls skirt is designed to support active play while maintaining a stylish shape. The layered ruffle detailing adds volume, making this skater skirt for girls perfect for casual styling and everyday fashion.
Perfect for kids wear girls, this skirt for girls blends comfort, breathability, and premium appeal. Whether styled for outings or daily wear, this kids girls skirt delivers effortless style and all-day comfort.</t>
        </is>
      </c>
    </row>
    <row r="107">
      <c r="A107" s="42" t="n"/>
      <c r="B107" s="34" t="inlineStr">
        <is>
          <t>PGSKTS003411</t>
        </is>
      </c>
      <c r="C107" s="34" t="inlineStr">
        <is>
          <t>APPAREL</t>
        </is>
      </c>
      <c r="D107" s="34" t="inlineStr">
        <is>
          <t>SKIRT</t>
        </is>
      </c>
      <c r="E107" s="34" t="inlineStr">
        <is>
          <t>KIDS GIRLS</t>
        </is>
      </c>
      <c r="F107" s="34" t="inlineStr">
        <is>
          <t>PINK</t>
        </is>
      </c>
      <c r="G107" s="34" t="inlineStr">
        <is>
          <t>PGSKTS003411-PINK</t>
        </is>
      </c>
      <c r="H107" s="49" t="inlineStr">
        <is>
          <t>Purple United Kids Girls Skirt with Checked Tiered Ruffle Design | Soft Cotton Fabric| Elastic Waist Comfort | Lightweight Short Skirt | Girls Casual Everyday Active Wear</t>
        </is>
      </c>
      <c r="I107" s="48" t="inlineStr">
        <is>
          <t>Kids Girls Check Ruffle Skirt</t>
        </is>
      </c>
      <c r="J107" s="49" t="inlineStr">
        <is>
          <t>Kids Girls Pink Checked Tiered Ruffle Cotton Comfort Elastic Waist Casual Wear Skirt</t>
        </is>
      </c>
      <c r="K107" s="49" t="inlineStr">
        <is>
          <t>Kids Girls Skirt in Pink with Checked Tiered Ruffle &amp; Cotton Comfort Elastic Waist for Casual Wear</t>
        </is>
      </c>
      <c r="L107" s="49" t="inlineStr">
        <is>
          <t>Purple United Kids Girls Skirt in Pink with Checked Ruffle &amp; Comfort Elastic Waist</t>
        </is>
      </c>
      <c r="M107" s="51" t="inlineStr">
        <is>
          <t>*PREMIUM CHECKED DESIGN: Classic dual color pattern enhances this Kids Girls Skirt with timeless appeal. Stylish skirt for girls adds charm to outfits, making this skirts girls option perfect for casual wear, outings, and everyday styling.
*TIERED RUFFLE SILHOUETTE: Layered ruffle construction creates volume and playful movement in this short skirt. Designed as skater skirt for girls, this kids girls skirt offers trendy style, making it ideal for summer clothes for girls.
*SOFT BREATHABLE COTTON FEEL: Lightweight cotton fabric keeps this skirt for girls comfortable throughout the day. Breathable design makes this kids girls skirt suitable for warm weather, delivering comfort for casual wear, outings, and daily activities.
*ELASTICATED COMFORT WAIST: Smocked elastic waistband ensures flexible fit and easy wear. This skirt for girls provides secure comfort, making this kids girls skirt ideal for active movement, playtime, and everyday kids wear girls styling.
*VERSATILE EVERYDAY STYLING: This Kids Girls Skirt pairs effortlessly with tops and tees. Stylish short skirt works across occasions, making this skirt for girls a versatile addition for casual dressing, travel wear, and modern kids wear girls outfits.</t>
        </is>
      </c>
      <c r="N107" s="48" t="inlineStr">
        <is>
          <t>Add playful charm to everyday styling with this Kids Girls Skirt from Purple United Kids. Designed in a classic checked pattern, this skirt for girls features a tiered ruffle silhouette that creates a twirl-ready and stylish look. The soft breathable fabric ensures lightweight comfort, making this short skirt ideal for daily wear, outings, and summer clothes for girls. The premium design enhances versatility, allowing this skirts girls option to pair easily with tops, tees, and casual outfits.
The elasticated smocked waistband offers a flexible and secure fit, ensuring easy wear and comfortable movement. This kids girls skirt is designed to support active play while maintaining a stylish shape. The layered ruffle detailing adds volume, making this skater skirt for girls perfect for casual styling and everyday fashion.
Perfect for kids wear girls, this skirt for girls blends comfort, breathability, and premium appeal. Whether styled for outings or daily wear, this kids girls skirt delivers effortless style and all-day comfort.</t>
        </is>
      </c>
    </row>
    <row r="108">
      <c r="A108" s="42" t="n"/>
      <c r="B108" s="34" t="inlineStr">
        <is>
          <t>PGDRSS003286</t>
        </is>
      </c>
      <c r="C108" s="34" t="inlineStr">
        <is>
          <t>APPAREL</t>
        </is>
      </c>
      <c r="D108" s="34" t="inlineStr">
        <is>
          <t>DRESS</t>
        </is>
      </c>
      <c r="E108" s="34" t="inlineStr">
        <is>
          <t>KIDS GIRLS</t>
        </is>
      </c>
      <c r="F108" s="34" t="inlineStr">
        <is>
          <t>NAVY BLUE</t>
        </is>
      </c>
      <c r="G108" s="34" t="inlineStr">
        <is>
          <t>PGDRSS003286-NAVY BLUE</t>
        </is>
      </c>
      <c r="H108" s="49" t="inlineStr">
        <is>
          <t>Purple United Kids Girls Dress in Navy Blue Floral Print | Collared Sleeveless Design | Belted Waist for All Day Comfort | Lightweight Cotton Fabric | Casual Wear Western Dress</t>
        </is>
      </c>
      <c r="I108" s="35" t="inlineStr">
        <is>
          <t>Kids Girls Floral Belted Dress</t>
        </is>
      </c>
      <c r="J108" s="48" t="inlineStr">
        <is>
          <t>Kids Girls Navy Blue Floral Print Belted Waist Comfortable Fabric Casual Wear Dress</t>
        </is>
      </c>
      <c r="K108" s="49" t="inlineStr">
        <is>
          <t>Kids Girls Dress in Navy Blue Floral Print with Belted Waist for Summer Comfort Casual Wear</t>
        </is>
      </c>
      <c r="L108" s="49" t="inlineStr">
        <is>
          <t>Purple United Kids Girls Dress in Navy Blue Floral with Belted Waist for Summer Wear</t>
        </is>
      </c>
      <c r="M108" s="51" t="inlineStr">
        <is>
          <t>*BREATHABLE COTTON SUMMER COMFORT: Kids girls dress in navy blue floral print crafted from breathable cotton fabric for soft feel and comfort. Lightweight summer dress for girls ideal for daily wear, casual outings, and kids clothes for girls.
*SMART COLLARED SLEEVELESS DESIGN: Girls dress in sleeveless collared style with front button placket for neat look. This western dress for girls offers easy wear comfort, making it perfect girls casual wear dress for everyday styling.
*BELTED WAIST FOR ADJUSTABLE FIT: Kids girls dress with slim belt detail for structured look and comfortable fit. This kids dress for girls provides flexible waist support, making it ideal cotton dress for kids girls summer wear.
*SOFT GATHERED SKIRT COMFORT: Dress for girls in relaxed gathered silhouette allowing easy movement and comfort. This girls cotton summer dress offers lightweight feel, making it suitable kids girls dress for outings, vacations, and daily wear.
*VERSATILE EVERYDAY STYLING: Kids girls dress in navy floral pattern for stylish everyday wear. This summer dress for girls pairs easily with sandals or shoes, making it perfect girls casual dress and western dress for girls.</t>
        </is>
      </c>
      <c r="N108" s="48" t="inlineStr">
        <is>
          <t>Add timeless everyday style with this Purple United Kids Girls Dress in navy blue floral print. Crafted in breathable cotton fabric, this kids girls dress offers lightweight comfort, making it a perfect summer dress for girls. The sleeveless silhouette in collared design with button front adds a neat and polished look, ideal for casual wear and outings.
Designed with a slim belt at the waist, this dress for girls provides a structured yet comfortable fit. The softly gathered skirt enhances ease of movement, making this western dress for girls suitable for active days. The lightweight construction ensures all-day comfort, making it an ideal cotton dress for kids girls.
This girls casual wear dress pairs effortlessly with sneakers, flats, or sandals, making it a versatile addition to kids clothes for girls. Perfect for daily wear, vacations, and outings, this kids girls dress combines breathable comfort, premium styling, and easy wear design.</t>
        </is>
      </c>
    </row>
    <row r="109">
      <c r="A109" s="42" t="n"/>
      <c r="B109" s="34" t="inlineStr">
        <is>
          <t>PGDRSS003321</t>
        </is>
      </c>
      <c r="C109" s="34" t="inlineStr">
        <is>
          <t>APPAREL</t>
        </is>
      </c>
      <c r="D109" s="34" t="inlineStr">
        <is>
          <t>DRESS</t>
        </is>
      </c>
      <c r="E109" s="34" t="inlineStr">
        <is>
          <t>KIDS GIRLS</t>
        </is>
      </c>
      <c r="F109" s="34" t="inlineStr">
        <is>
          <t>LAVENDER</t>
        </is>
      </c>
      <c r="G109" s="34" t="inlineStr">
        <is>
          <t>PGDRSS003321-LAVENDER</t>
        </is>
      </c>
      <c r="H109" s="49" t="inlineStr">
        <is>
          <t>Purple United Kids Girls Dress | Striped Pattern | Sleeveless Design | Button Front for Summer Comfort | Lightweight Cotton Comfort Fabric | Casual Western Kids Wear</t>
        </is>
      </c>
      <c r="I109" s="48" t="inlineStr">
        <is>
          <t>Kids Girls Casual Stripe Dress</t>
        </is>
      </c>
      <c r="J109" s="49" t="inlineStr">
        <is>
          <t>Kids Girls Lavender Stripes Sleeveless Design Cotton All Day Comfort Dress</t>
        </is>
      </c>
      <c r="K109" s="49" t="inlineStr">
        <is>
          <t>Kids Girls Dress in Lavender Stripes with Sleeveless Cotton Design for Summer Comfort</t>
        </is>
      </c>
      <c r="L109" s="49" t="inlineStr">
        <is>
          <t>Purple United Kids Girls Dress in Lavender with Sleeveless Design for Summers</t>
        </is>
      </c>
      <c r="M109" s="51" t="inlineStr">
        <is>
          <t>*BREATHABLE COTTON SUMMER COMFORT: Kids girls dress in stripe pattern crafted from breathable cotton fabric for soft feel and comfort. Lightweight summer dress for girls ideal for daily wear, kids clothes for girls.
*SLEEVELESS BUTTON FRONT DESIGN: Girls dress in sleeveless silhouette with front button closure for easy wear. This western dress for girls offers comfortable styling, making it perfect girls casual wear dress.
*SOFT GATHERED WAIST COMFORT FIT: Kids girls dress with relaxed gathered waist for comfortable movement. This cotton dress for kids girls provides easy fit, making it suitable summer dress for girls.
*LIGHTWEIGHT EVERYDAY STYLING: Dress for girls in stripe design for fresh everyday look. This girls cotton summer dress pairs easily with shoes or sandals for casual wear.
*VERSATILE CASUAL SUMMER WEAR: Kids girls dress designed for daily wear and outings. This girls casual dress offers breathable comfort, making it ideal kids dress for girls summer wear.</t>
        </is>
      </c>
      <c r="N109" s="48" t="inlineStr">
        <is>
          <t>Refresh everyday styling with this Purple United Kids Girls Dress in stripe pattern. Crafted in breathable cotton fabric, this kids girls dress offers lightweight comfort, making it a perfect summer dress for girls. The sleeveless silhouette in button-front design ensures easy wear while maintaining a neat and minimal look.
Designed with a softly gathered waist, this dress for girls provides comfortable movement and relaxed fit. The lightweight construction enhances breathability, making this cotton dress for kids girls suitable for all-day wear. The stripe pattern adds a clean and modern touch, making this western dress for girls ideal for casual outings.
This girls casual wear dress pairs effortlessly with sneakers, sandals, or flats, making it a versatile addition to kids clothes for girls. Perfect for daily wear, vacations, and outings, this kids girls dress combines breathable comfort, premium styling, and easy wear design for summer.</t>
        </is>
      </c>
    </row>
    <row r="110">
      <c r="A110" s="42" t="n"/>
      <c r="B110" s="34" t="inlineStr">
        <is>
          <t>PGDRSS003321</t>
        </is>
      </c>
      <c r="C110" s="34" t="inlineStr">
        <is>
          <t>APPAREL</t>
        </is>
      </c>
      <c r="D110" s="34" t="inlineStr">
        <is>
          <t>DRESS</t>
        </is>
      </c>
      <c r="E110" s="34" t="inlineStr">
        <is>
          <t>KIDS GIRLS</t>
        </is>
      </c>
      <c r="F110" s="34" t="inlineStr">
        <is>
          <t>PINK</t>
        </is>
      </c>
      <c r="G110" s="34" t="inlineStr">
        <is>
          <t>PGDRSS003321-PINK</t>
        </is>
      </c>
      <c r="H110" s="49" t="inlineStr">
        <is>
          <t>Purple United Kids Girls Dress | Striped Pattern | Sleeveless Design | Button Front for Summer Comfort | Lightweight Cotton Comfort Fabric | Casual Western Kids Wear</t>
        </is>
      </c>
      <c r="I110" s="48" t="inlineStr">
        <is>
          <t>Kids Girls Pink Stripe Dress</t>
        </is>
      </c>
      <c r="J110" s="49" t="inlineStr">
        <is>
          <t>Kids Girls Pink Stripes Sleeveless Design Cotton All Day Comfort Dress</t>
        </is>
      </c>
      <c r="K110" s="49" t="inlineStr">
        <is>
          <t>Kids Girls Dress in Pink Stripes with Sleeveless Cotton Design for Summer Comfort</t>
        </is>
      </c>
      <c r="L110" s="49" t="inlineStr">
        <is>
          <t>Purple United Kids Girls Dress in Pink with Sleeveless Design for Summer Comfort</t>
        </is>
      </c>
      <c r="M110" s="51" t="inlineStr">
        <is>
          <t>*BREATHABLE COTTON SUMMER COMFORT: Kids girls dress in stripe pattern crafted from breathable cotton fabric for soft feel and comfort. Lightweight summer dress for girls ideal for daily wear, kids clothes for girls.
*SLEEVELESS BUTTON FRONT DESIGN: Girls dress in sleeveless silhouette with front button closure for easy wear. This western dress for girls offers comfortable styling, making it perfect girls casual wear dress.
*SOFT GATHERED WAIST COMFORT FIT: Kids girls dress with relaxed gathered waist for comfortable movement. This cotton dress for kids girls provides easy fit, making it suitable summer dress for girls.
*LIGHTWEIGHT EVERYDAY STYLING: Dress for girls in stripe design for fresh everyday look. This girls cotton summer dress pairs easily with shoes or sandals for casual wear.
*VERSATILE CASUAL SUMMER WEAR: Kids girls dress designed for daily wear and outings. This girls casual dress offers breathable comfort, making it ideal kids dress for girls summer wear.</t>
        </is>
      </c>
      <c r="N110" s="48" t="inlineStr">
        <is>
          <t>Refresh everyday styling with this Purple United Kids Girls Dress in stripe pattern. Crafted in breathable cotton fabric, this kids girls dress offers lightweight comfort, making it a perfect summer dress for girls. The sleeveless silhouette in button-front design ensures easy wear while maintaining a neat and minimal look.
Designed with a softly gathered waist, this dress for girls provides comfortable movement and relaxed fit. The lightweight construction enhances breathability, making this cotton dress for kids girls suitable for all-day wear. The stripe pattern adds a clean and modern touch, making this western dress for girls ideal for casual outings.
This girls casual wear dress pairs effortlessly with sneakers, sandals, or flats, making it a versatile addition to kids clothes for girls. Perfect for daily wear, vacations, and outings, this kids girls dress combines breathable comfort, premium styling, and easy wear design for summer.</t>
        </is>
      </c>
    </row>
    <row r="111">
      <c r="A111" s="42" t="n"/>
      <c r="B111" s="34" t="inlineStr">
        <is>
          <t>PBDNFS003071</t>
        </is>
      </c>
      <c r="C111" s="34" t="inlineStr">
        <is>
          <t>APPAREL</t>
        </is>
      </c>
      <c r="D111" s="34" t="inlineStr">
        <is>
          <t>DENIM SHIRT</t>
        </is>
      </c>
      <c r="E111" s="34" t="inlineStr">
        <is>
          <t>KIDS BOYS</t>
        </is>
      </c>
      <c r="F111" s="34" t="inlineStr">
        <is>
          <t>DK. BLUE</t>
        </is>
      </c>
      <c r="G111" s="34" t="inlineStr">
        <is>
          <t>PBDNFS003071-DK. BLUE</t>
        </is>
      </c>
      <c r="H111" s="49" t="inlineStr">
        <is>
          <t>Purple United Kids Boys Denim Shirt with All Over Print | Short Sleeves | Button Down Style | Soft Breathable Fabric | Dual Flap Pockets | Casual Kids Boys Denim Shirts for Everyday Wear</t>
        </is>
      </c>
      <c r="I111" s="48" t="inlineStr">
        <is>
          <t>Kids Boys Printed Denim Shirt</t>
        </is>
      </c>
      <c r="J111" s="49" t="inlineStr">
        <is>
          <t>Kids Boys Dark Blue Printed Design Short Sleeves Smart Casual Style Soft Denim Shirt</t>
        </is>
      </c>
      <c r="K111" s="49" t="inlineStr">
        <is>
          <t>Kids Boys Denim Shirt in Printed Dark Blue with Short Sleeves &amp; Soft Fabric for Summer Comfort</t>
        </is>
      </c>
      <c r="L111" s="49" t="inlineStr">
        <is>
          <t>Purple United Kids Boys Printed Denim Shirt in Dark Blue with Soft Feel Fabric</t>
        </is>
      </c>
      <c r="M111" s="51" t="inlineStr">
        <is>
          <t>*PREMIUM PRINTED DENIM: Kids boys denim shirt in dark blue with all over print and structured silhouette, designed for casual shirts styling, making it ideal for shirts for boys, boys shirts online, and premium everyday denim shirts.
*SOFT BREATHABLE FABRIC FOR COMFORT: Casual shirts for boys with soft breathable denim fabric that feels comfortable for long hours, making this boys shirt suitable for daily wear, outings, and stylish shirts for boys.
*FUNCTIONAL DUAL FLAP POCKETS: Kids boys denim shirt with front flap pockets and button closure adds utility and style, making it practical for boys shirts while enhancing the premium look of denim shirts.
*SHORT SLEEVES CASUAL SUMMER STYLING: Short sleeves shirts design offers easy movement and airy feel, making this kids boys denim shirt perfect for warm weather, casual shirts, and stylish shirts for boys everyday wear.
*SMART BUTTON DOWN EVERYDAY WEAR: Boys shirts with front button down closure and structured collar deliver polished casual styling, making this denim shirt ideal for buy boys shirts, boys shirts online, and versatile kids boys outfits.</t>
        </is>
      </c>
      <c r="N111" s="48" t="inlineStr">
        <is>
          <t>Purple United Kids presents this premium Kids Boys Denim Shirt with a stylish all over print, crafted to elevate everyday casual dressing. Designed with a structured silhouette, this boys denim shirt delivers a polished yet relaxed look, making it perfect for outings, vacations, and daily wear. The soft breathable fabric ensures comfort throughout the day, while the short sleeves design keeps it airy and easy to move in.
This casual shirt features a classic button down front, dual flap pockets, and a neat collar that enhances the premium appeal. The all over print adds a modern statement, making it stand out from regular shirts for boys. Built for versatility, this kids boys denim shirt pairs effortlessly with jeans, shorts, or trousers for a complete outfit.
Ideal for parents looking to buy boys shirts online, this premium denim shirt combines comfort, style, and durability. A refined addition to boys shirts collection, perfect for casual wear, travel looks, and smart everyday styling.</t>
        </is>
      </c>
    </row>
    <row r="112">
      <c r="A112" s="42" t="n"/>
      <c r="B112" s="34" t="inlineStr">
        <is>
          <t>PGDRSS002869</t>
        </is>
      </c>
      <c r="C112" s="34" t="inlineStr">
        <is>
          <t>APPAREL</t>
        </is>
      </c>
      <c r="D112" s="34" t="inlineStr">
        <is>
          <t>DRESS</t>
        </is>
      </c>
      <c r="E112" s="34" t="inlineStr">
        <is>
          <t>KIDS GIRLS</t>
        </is>
      </c>
      <c r="F112" s="34" t="inlineStr">
        <is>
          <t>MULTI BLUE</t>
        </is>
      </c>
      <c r="G112" s="34" t="inlineStr">
        <is>
          <t>PGDRSS002869-MULTI BLUE</t>
        </is>
      </c>
      <c r="H112" s="49" t="inlineStr">
        <is>
          <t>Purple United Kids Girls Dress Smocked Cotton Stripe with Textured Bodice | Sleeveless Silhouette | Tie-Up Neck Detail | Breathable &amp; Soft Fabric for Casual Summer Wear</t>
        </is>
      </c>
      <c r="I112" s="35" t="inlineStr">
        <is>
          <t>Girls Smocked Stripe Dress</t>
        </is>
      </c>
      <c r="J112" s="49" t="inlineStr">
        <is>
          <t>Kids Girls Multi Blue Smocked Cotton Fabric Stripe Pattern Tie-Up Neck Dress</t>
        </is>
      </c>
      <c r="K112" s="49" t="inlineStr">
        <is>
          <t>Kids Girls Dress Multi Blue Smocked Cotton Stripe Summer Style with Tie-Up Neck</t>
        </is>
      </c>
      <c r="L112" s="49" t="inlineStr">
        <is>
          <t>Purple United Kids Girls Dress Multi Blue Smocked Cotton Stripe Summer Style</t>
        </is>
      </c>
      <c r="M112" s="51" t="inlineStr">
        <is>
          <t>*PREMIUM COTTON COMFORT FOR SUMMER WEAR: Crafted in breathable cotton, this Kids Girls Dress ensures all-day comfort, making it an ideal summer dress for girls and a versatile choice in kids clothes for girls.
*SMOCKED BODICE WITH FLEXIBLE STRUCTURE: Designed with an elasticated smocked bodice, this girls dress offers a secure yet flexible fit, combining comfort with elevated styling for modern western dress for girls.
*ELEGANT TIE-UP NECK DETAIL: Subtle tie-up neckline detail enhances this Kids Girls Dress with a refined touch, adding delicate styling while maintaining comfort, making it suitable for casual wear, outings, and modern kids clothes for girls.
*FLOWY SILHOUETTE FOR EASY MOVEMENT: The relaxed A-line shape enhances movement and comfort, making it suitable as a kids dress for girls daily wear and a stylish option among girls cotton summer dress.
*ELEVATED DETAILS FOR EVERYDAY STYLE: Finished with tie-up neckline and subtle buttons, this dress for girls blends thoughtful detailing with premium appeal, making it ideal for outings, casual occasions, and kids wear girls collections.</t>
        </is>
      </c>
      <c r="N112" s="48" t="inlineStr">
        <is>
          <t>Upgrade everyday styling with this Kids Girls Dress from Purple United Kids designed in a refreshing stripe pattern. Crafted in breathable cotton fabric, this dress for girls offers lightweight comfort, making it a perfect summer dress for girls and ideal for kids clothes for girls. The smocked bodice provides a flexible fit while enhancing the overall look with textured detailing.
This kids dress for girls features a sleeveless silhouette with a tie-up neckline, allowing ease of movement and all-day comfort. The relaxed gathered shape ensures a comfortable fit, making it suitable for active routines and casual wear. Designed as a versatile western dress for girls, it works well for outings, vacations, and everyday styling.
This girls cotton summer dress pairs effortlessly with sandals or shoes, making it a must-have in kids wear girls collections. Perfect as a girls casual wear dress, this kids girls dress blends comfort, breathable fabric, and premium styling for modern everyday fashion.</t>
        </is>
      </c>
    </row>
    <row r="113">
      <c r="A113" s="42" t="n"/>
      <c r="B113" s="34" t="inlineStr">
        <is>
          <t>PGDRSS003139</t>
        </is>
      </c>
      <c r="C113" s="34" t="inlineStr">
        <is>
          <t>APPAREL</t>
        </is>
      </c>
      <c r="D113" s="34" t="inlineStr">
        <is>
          <t>DRESS</t>
        </is>
      </c>
      <c r="E113" s="34" t="inlineStr">
        <is>
          <t>INFANT GIRLS</t>
        </is>
      </c>
      <c r="F113" s="34" t="inlineStr">
        <is>
          <t>PINK</t>
        </is>
      </c>
      <c r="G113" s="34" t="inlineStr">
        <is>
          <t>PGDRSS003139-PINK</t>
        </is>
      </c>
      <c r="H113" s="49" t="inlineStr">
        <is>
          <t>Purple United Kids Infant Girls Dress with Striped Cotton Fabric | Statement Bow Detail | Sleeveless Design | Soft Gathered Silhouette for Lightweight Summer Comfort and Refined Styling</t>
        </is>
      </c>
      <c r="I113" s="48" t="inlineStr">
        <is>
          <t>Striped Pink Infant Girl Dress</t>
        </is>
      </c>
      <c r="J113" s="48" t="inlineStr">
        <is>
          <t>Infant Girls Pink Striped Bow Detail Sleeveless Breathable Cotton Fabric Dress</t>
        </is>
      </c>
      <c r="K113" s="49" t="inlineStr">
        <is>
          <t>Infant Girls Dress in Pink Striped with Bow Detail, Sleeveless &amp; Cotton Fabric for Summers</t>
        </is>
      </c>
      <c r="L113" s="49" t="inlineStr">
        <is>
          <t>Purple United Kids Infant Girls Dress in Pink with Bow Detail &amp; Cotton Fabric</t>
        </is>
      </c>
      <c r="M113" s="51" t="inlineStr">
        <is>
          <t>*STATEMENT BOW WITH PREMIUM FINISH: The elegant bow detail enhances this kids girls dress, adding a refined touch to this infant dress for girls, making it ideal as a party wear dress for kids girls or stylish everyday girls dress.
*SOFT COTTON STRIPED SUMMER FEEL: Crafted in breathable cotton, this summer infant dress for girls ensures comfort in warm weather, making it a perfect kids dress for girls and lightweight baby girl dress for daily wear.
*LIGHTWEIGHT &amp; EASY MOVEMENT FIT: Designed for comfort, this infant girls casual wear dress offers a relaxed fit, making it a practical kids girls dress and easy-to-wear dress for baby girl during active routines.
*FLOWY SILHOUETTE WITH COMFORTABLE FEEL: The gathered design gives this infant girls dress a soft flare, making it a stylish princess dress for girls and versatile kids dress suitable for both casual outings and small celebrations.
*EASY WEAR &amp; EVERYDAY STYLING: With a convenient closure and soft fabric, this baby girl dress ensures hassle-free wear, making it a reliable dress for girls, perfect for summer wear for baby girl and daily styling.</t>
        </is>
      </c>
      <c r="N113" s="48" t="inlineStr">
        <is>
          <t>Bring home effortless charm with this Purple United Kids Girls Dress, designed for comfort, style, and everyday elegance. Crafted from soft breathable fabric, this kids dress for girls features a delicate striped pattern and a statement bow detail, making it a standout infant dress for girls for both casual and special moments.
This infant summer dress for girls offers a lightweight feel, making it ideal as summer wear for baby girl and perfect for warm-weather outings. The sleeveless design ensures ease of movement, while the gathered silhouette adds a soft, flowy look, giving it the appeal of a princess dress for girls.
Designed for versatility, this baby girl dress works beautifully as a girls casual wear dress, a party wear dress for kids girls, or even a subtle birthday dress. Easy to wear and style, this kids girls dress pairs well with everyday footwear for a polished look.
A perfect blend of comfort and style, this girls dress is an essential addition to modern kids clothes for girls, offering a premium feel with practical everyday usability.</t>
        </is>
      </c>
    </row>
    <row r="114">
      <c r="A114" s="42" t="n"/>
      <c r="B114" s="34" t="inlineStr">
        <is>
          <t>PGDRSS003139</t>
        </is>
      </c>
      <c r="C114" s="34" t="inlineStr">
        <is>
          <t>APPAREL</t>
        </is>
      </c>
      <c r="D114" s="34" t="inlineStr">
        <is>
          <t>DRESS</t>
        </is>
      </c>
      <c r="E114" s="34" t="inlineStr">
        <is>
          <t>INFANT GIRLS</t>
        </is>
      </c>
      <c r="F114" s="34" t="inlineStr">
        <is>
          <t>LAVENDER</t>
        </is>
      </c>
      <c r="G114" s="34" t="inlineStr">
        <is>
          <t>PGDRSS003139-LAVENDER</t>
        </is>
      </c>
      <c r="H114" s="49" t="inlineStr">
        <is>
          <t>Purple United Kids Infant Girls Dress with Striped Cotton Fabric | Statement Bow Detail | Sleeveless Design | Soft Gathered Silhouette for Lightweight Summer Comfort and Refined Styling</t>
        </is>
      </c>
      <c r="I114" s="48" t="inlineStr">
        <is>
          <t>Infant Girl Lavender Dress</t>
        </is>
      </c>
      <c r="J114" s="35" t="inlineStr">
        <is>
          <t>Infant Girls Lavender Striped Bow Detail Sleeveless Breathable Cotton Fabric Dress</t>
        </is>
      </c>
      <c r="K114" s="49" t="inlineStr">
        <is>
          <t>Infant Girls Dress in Lavender Striped with Bow Detail, Sleeveless &amp; Cotton Fabric for Summers</t>
        </is>
      </c>
      <c r="L114" s="49" t="inlineStr">
        <is>
          <t>Purple United Kids Infant Girls Dress in Lavender with Bow Detail &amp; Cotton Fabric</t>
        </is>
      </c>
      <c r="M114" s="51" t="inlineStr">
        <is>
          <t>*STATEMENT BOW WITH PREMIUM FINISH: The elegant bow detail enhances this kids girls dress, adding a refined touch to this infant dress for girls, making it ideal as a party wear dress for kids girls or stylish everyday girls dress.
*SOFT COTTON STRIPED SUMMER FEEL: Crafted in breathable cotton, this summer infant dress for girls ensures comfort in warm weather, making it a perfect kids dress for girls and lightweight baby girl dress for daily wear.
*LIGHTWEIGHT &amp; EASY MOVEMENT FIT: Designed for comfort, this infant girls casual wear dress offers a relaxed fit, making it a practical kids girls dress and easy-to-wear dress for baby girl during active routines.
*FLOWY SILHOUETTE WITH COMFORTABLE FEEL: The gathered design gives this infant girls dress a soft flare, making it a stylish princess dress for girls and versatile kids dress suitable for both casual outings and small celebrations.
*EASY WEAR &amp; EVERYDAY STYLING: With a convenient closure and soft fabric, this baby girl dress ensures hassle-free wear, making it a reliable dress for girls, perfect for summer wear for baby girl and daily styling.</t>
        </is>
      </c>
      <c r="N114" s="48" t="inlineStr">
        <is>
          <t>Bring home effortless charm with this Purple United Kids Girls Dress, designed for comfort, style, and everyday elegance. Crafted from soft breathable fabric, this kids dress for girls features a delicate striped pattern and a statement bow detail, making it a standout infant dress for girls for both casual and special moments.
This infant summer dress for girls offers a lightweight feel, making it ideal as summer wear for baby girl and perfect for warm-weather outings. The sleeveless design ensures ease of movement, while the gathered silhouette adds a soft, flowy look, giving it the appeal of a princess dress for girls.
Designed for versatility, this baby girl dress works beautifully as a girls casual wear dress, a party wear dress for kids girls, or even a subtle birthday dress. Easy to wear and style, this kids girls dress pairs well with everyday footwear for a polished look.
A perfect blend of comfort and style, this girls dress is an essential addition to modern kids clothes for girls, offering a premium feel with practical everyday usability.</t>
        </is>
      </c>
    </row>
    <row r="115">
      <c r="A115" s="42" t="n"/>
      <c r="B115" s="34" t="inlineStr">
        <is>
          <t>PGSHSS002834</t>
        </is>
      </c>
      <c r="C115" s="34" t="inlineStr">
        <is>
          <t>APPAREL</t>
        </is>
      </c>
      <c r="D115" s="34" t="inlineStr">
        <is>
          <t>SHORTS</t>
        </is>
      </c>
      <c r="E115" s="34" t="inlineStr">
        <is>
          <t>KIDS GIRLS</t>
        </is>
      </c>
      <c r="F115" s="34" t="inlineStr">
        <is>
          <t>PURPLE</t>
        </is>
      </c>
      <c r="G115" s="34" t="inlineStr">
        <is>
          <t>PGSHSS002834-PURPLE</t>
        </is>
      </c>
      <c r="H115" s="49" t="inlineStr">
        <is>
          <t>Purple United Kids Girls Shorts with Statement Belt Detail | Utility Pocket Design | Structured Waist Fit and Breathable Cotton Fabric for Elevated Everyday Styling and Comfortable Summer Wear</t>
        </is>
      </c>
      <c r="I115" s="48" t="inlineStr">
        <is>
          <t>Girls Purple Belted Shorts</t>
        </is>
      </c>
      <c r="J115" s="49" t="inlineStr">
        <is>
          <t>Purple United Kids Girls Utility Pockets Belted Waist Relaxed Fit Soft Fabric Shorts</t>
        </is>
      </c>
      <c r="K115" s="49" t="inlineStr">
        <is>
          <t>Kids Girls Shorts with Utility Pockets, Belted Waist &amp; Relaxed Fit for All Day Comfort Wear</t>
        </is>
      </c>
      <c r="L115" s="49" t="inlineStr">
        <is>
          <t>Purple United Kids Girls Shorts with Utility Pockets, Belted Waist &amp; Relaxed Fit</t>
        </is>
      </c>
      <c r="M115" s="51" t="inlineStr">
        <is>
          <t>*ELEVATED UTILITY DESIGN: Designed with functional flap pockets and structured tailoring, these kids girls shorts blend style with purpose, offering modern utility-inspired aesthetics while ensuring practical storage and polished everyday wear appeal.
*STATEMENT BELTED WAIST DETAIL: Featuring a distinctive circular buckle belt, these shorts for girls deliver a refined silhouette, enhancing fit and style while adding a premium design element that elevates classic girls shorts effortlessly.
*BREATHABLE COTTON COMFORT: Crafted from soft breathable fabric, these cotton shorts for girls ensure all-day comfort, making them ideal shorts for kids girls for summer wear, keeping movement easy, airy, and irritation-free.
*RELAXED STRUCTURED FIT: The tailored yet relaxed shape of these girls shorts offers freedom of movement with a neat finish, making them versatile kids shorts suitable for casual outings, travel, or elevated everyday dressing.
*VERSATILE EVERYDAY STYLING: Perfectly suited as shorts for kids, these stylish shorts for girls pair effortlessly with tops, tees, and shirts, making them a must-have wardrobe essential for modern kids girls shorts collections.</t>
        </is>
      </c>
      <c r="N115" s="48" t="inlineStr">
        <is>
          <t>Upgrade everyday dressing with these premium Purple United Kids Girls Shorts, designed to combine functionality with elevated style. Crafted from breathable fabric, these cotton shorts for girls ensure superior comfort, making them perfect shorts for kids girls for warm-weather wear.
Featuring a structured waistband with a statement buckle belt, these shorts for girls offer a refined silhouette while maintaining ease of wear. The utility-inspired flap pockets add both functionality and a modern aesthetic, making these girls shorts stand out in any wardrobe.
Designed for versatility, these kids shorts transition effortlessly from casual outings to styled looks, pairing easily with tops and shirts. The relaxed fit enhances movement, ensuring these shorts for kids remain comfortable throughout the day.
A perfect blend of fashion and practicality, these kids girls shorts are an essential addition to contemporary wardrobes, delivering premium design, breathable comfort, and everyday ease in one stylish piece.</t>
        </is>
      </c>
    </row>
    <row r="116">
      <c r="A116" s="42" t="n"/>
      <c r="B116" s="34" t="inlineStr">
        <is>
          <t>PBDNHS003104</t>
        </is>
      </c>
      <c r="C116" s="34" t="inlineStr">
        <is>
          <t>APPAREL</t>
        </is>
      </c>
      <c r="D116" s="34" t="inlineStr">
        <is>
          <t>SHORTS</t>
        </is>
      </c>
      <c r="E116" s="34" t="inlineStr">
        <is>
          <t>KIDS BOYS</t>
        </is>
      </c>
      <c r="F116" s="34" t="inlineStr">
        <is>
          <t>DK. BLUE</t>
        </is>
      </c>
      <c r="G116" s="34" t="inlineStr">
        <is>
          <t>PBDNHS003104-DK. BLUE</t>
        </is>
      </c>
      <c r="H116" s="49" t="inlineStr">
        <is>
          <t>Purple United Kids Boys Shorts in Washed Denim with Drawstring Waist | Contrast Stitch Detailing | Soft Structured Fit for Elevated Everyday Comfort and Premium Summer Styling</t>
        </is>
      </c>
      <c r="I116" s="48" t="inlineStr">
        <is>
          <t>Boys Casual Denim Shorts</t>
        </is>
      </c>
      <c r="J116" s="49" t="inlineStr">
        <is>
          <t>Purple United Kids Boys Drawstring Waist Washed Finish Comfortable Dark Blue Denim Shorts</t>
        </is>
      </c>
      <c r="K116" s="49" t="inlineStr">
        <is>
          <t>Kids Boys Shorts in Dark Blue Denim with Drawstring Waist for Comfortable Summer Wear</t>
        </is>
      </c>
      <c r="L116" s="49" t="inlineStr">
        <is>
          <t>Purple United Kids Boys Shorts in Dark Blue Denim with Drawstring Waist</t>
        </is>
      </c>
      <c r="M116" s="51" t="inlineStr">
        <is>
          <t>*PREMIUM WASHED DENIM LOOK: Crafted in rich washed denim, these kids boys shorts deliver a modern rugged aesthetic, making them stylish denim shorts and versatile shorts for boys perfect for elevated everyday wear.
*ADJUSTABLE DRAWSTRING WAIST: Designed with an elasticated waistband and functional drawstring, these shorts for kids boys ensure a secure and flexible fit, making them comfortable half pant for boys for all-day wear.
*SOFT &amp; BREATHABLE COMFORT: Made with soft-touch denim fabric, these cotton shorts for kids boys offer breathable comfort, making them ideal summer denim shorts and reliable kids shorts for warm weather days.
*FUNCTIONAL POCKET STYLING: Featuring multiple pockets with detailed stitching, these boys shorts combine practicality with design, offering utility-inspired appeal while keeping essentials secure in everyday shorts for boys styling.
*VERSATILE EVERYDAY ESSENTIAL: These kids shorts for boys pair effortlessly with t-shirts and shirts, making them go-to boy shorts for casual outings, travel, and daily wear, delivering comfort with a premium fashion edge.</t>
        </is>
      </c>
      <c r="N116" s="48" t="inlineStr">
        <is>
          <t>Refresh everyday style with these premium Purple United Kids Boys Shorts, designed in rich washed denim for a modern and versatile look. These denim shorts combine rugged aesthetics with everyday comfort, making them essential shorts for boys.
Featuring an elasticated waistband with an adjustable drawstring, these shorts for kids boys ensure a secure and flexible fit, ideal as a comfortable half pant for boys. The soft-touch fabric enhances wearability, making these cotton shorts for kids boys suitable for all-day use, especially as summer denim shorts.
Detailed with contrast stitching and functional pockets, these boys shorts offer both style and practicality, making them perfect kids shorts for active and casual wear. Their relaxed structure allows ease of movement while maintaining a refined silhouette.
Perfect for pairing with everyday tops, these kids boys shorts are a must-have wardrobe staple, delivering premium design, durability, and effortless comfort in every wear.</t>
        </is>
      </c>
    </row>
    <row r="117">
      <c r="A117" s="42" t="n"/>
      <c r="B117" s="34" t="inlineStr">
        <is>
          <t>PBDNHS003104</t>
        </is>
      </c>
      <c r="C117" s="34" t="inlineStr">
        <is>
          <t>APPAREL</t>
        </is>
      </c>
      <c r="D117" s="34" t="inlineStr">
        <is>
          <t>SHORTS</t>
        </is>
      </c>
      <c r="E117" s="34" t="inlineStr">
        <is>
          <t>KIDS BOYS</t>
        </is>
      </c>
      <c r="F117" s="34" t="inlineStr">
        <is>
          <t>LT. BLUE</t>
        </is>
      </c>
      <c r="G117" s="34" t="inlineStr">
        <is>
          <t>PBDNHS003104-LT. BLUE</t>
        </is>
      </c>
      <c r="H117" s="49" t="inlineStr">
        <is>
          <t>Purple United Kids Boys Shorts in Washed Denim with Drawstring Waist | Contrast Stitch Detailing | Soft Structured Fit for Elevated Everyday Comfort and Premium Summer Styling</t>
        </is>
      </c>
      <c r="I117" s="48" t="inlineStr">
        <is>
          <t>Boys Casual Denim Shorts</t>
        </is>
      </c>
      <c r="J117" s="49" t="inlineStr">
        <is>
          <t>Purple United Kids Boys Drawstring Waist Washed Finish Comfortable Light Blue Denim Shorts</t>
        </is>
      </c>
      <c r="K117" s="49" t="inlineStr">
        <is>
          <t>Kids Boys Shorts in Light Blue Denim with Drawstring Waist for Comfortable Summer Wear</t>
        </is>
      </c>
      <c r="L117" s="49" t="inlineStr">
        <is>
          <t>Purple United Kids Boys Shorts in Light Blue Denim with Drawstring Waist</t>
        </is>
      </c>
      <c r="M117" s="51" t="inlineStr">
        <is>
          <t>*PREMIUM WASHED DENIM LOOK: Crafted in rich washed denim, these kids boys shorts deliver a modern rugged aesthetic, making them stylish denim shorts and versatile shorts for boys perfect for elevated everyday wear.
*ADJUSTABLE DRAWSTRING WAIST: Designed with an elasticated waistband and functional drawstring, these shorts for kids boys ensure a secure and flexible fit, making them comfortable half pant for boys for all-day wear.
*SOFT &amp; BREATHABLE COMFORT: Made with soft-touch denim fabric, these cotton shorts for kids boys offer breathable comfort, making them ideal summer denim shorts and reliable kids shorts for warm weather days.
*FUNCTIONAL POCKET STYLING: Featuring multiple pockets with detailed stitching, these boys shorts combine practicality with design, offering utility-inspired appeal while keeping essentials secure in everyday shorts for boys styling.
*VERSATILE EVERYDAY ESSENTIAL: These kids shorts for boys pair effortlessly with t-shirts and shirts, making them go-to boy shorts for casual outings, travel, and daily wear, delivering comfort with a premium fashion edge.</t>
        </is>
      </c>
      <c r="N117" s="48" t="inlineStr">
        <is>
          <t>Refresh everyday style with these premium Purple United Kids Boys Shorts, designed in rich washed denim for a modern and versatile look. These denim shorts combine rugged aesthetics with everyday comfort, making them essential shorts for boys.
Featuring an elasticated waistband with an adjustable drawstring, these shorts for kids boys ensure a secure and flexible fit, ideal as a comfortable half pant for boys. The soft-touch fabric enhances wearability, making these cotton shorts for kids boys suitable for all-day use, especially as summer denim shorts.
Detailed with contrast stitching and functional pockets, these boys shorts offer both style and practicality, making them perfect kids shorts for active and casual wear. Their relaxed structure allows ease of movement while maintaining a refined silhouette.
Perfect for pairing with everyday tops, these kids boys shorts are a must-have wardrobe staple, delivering premium design, durability, and effortless comfort in every wear.</t>
        </is>
      </c>
    </row>
    <row r="118">
      <c r="A118" s="42" t="n"/>
      <c r="B118" s="34" t="inlineStr">
        <is>
          <t>PGSHSS002835</t>
        </is>
      </c>
      <c r="C118" s="34" t="inlineStr">
        <is>
          <t>APPAREL</t>
        </is>
      </c>
      <c r="D118" s="34" t="inlineStr">
        <is>
          <t>SHORTS</t>
        </is>
      </c>
      <c r="E118" s="34" t="inlineStr">
        <is>
          <t>KIDS GIRLS</t>
        </is>
      </c>
      <c r="F118" s="34" t="inlineStr">
        <is>
          <t>DK. GREEN</t>
        </is>
      </c>
      <c r="G118" s="34" t="inlineStr">
        <is>
          <t>PGSHSS002835-DK. GREEN</t>
        </is>
      </c>
      <c r="H118" s="49" t="inlineStr">
        <is>
          <t>Purple United Kids Girls Shorts in Dark Green with Structured Waistband | Utility Pocket Detailing | Soft Fabric | Tailored Pleats and Refined Silhouette for Everyday Summer Styling Comfort</t>
        </is>
      </c>
      <c r="I118" s="35" t="inlineStr">
        <is>
          <t>Girls Casual Wear Shorts</t>
        </is>
      </c>
      <c r="J118" s="49" t="inlineStr">
        <is>
          <t xml:space="preserve">Purple United Kids Girls Utility Pockets Relaxed Tailored Fit Comfort Dark Green Shorts </t>
        </is>
      </c>
      <c r="K118" s="49" t="inlineStr">
        <is>
          <t xml:space="preserve">Purple United Kids Girls Shorts in Dark Green with Utility Pockets &amp; Relaxed Tailored Fit </t>
        </is>
      </c>
      <c r="L118" s="49" t="inlineStr">
        <is>
          <t>Purple United Kids Girls Shorts in Dark Green with Utility Pockets &amp; Tailored Fit</t>
        </is>
      </c>
      <c r="M118" s="51" t="inlineStr">
        <is>
          <t>*REFINED UTILITY POCKET DESIGN: Designed with structured flap and side pockets, these kids girls shorts combine functionality with modern styling, offering practical storage while enhancing the overall premium look of these girls shorts.
*STRUCTURED TAILORED WAIST FIT: The defined waistband with subtle detailing gives these shorts for girls a clean, polished silhouette, ensuring a secure fit while elevating everyday styling in these premium kids shorts.
*BREATHABLE SUMMER READY FABRIC: Crafted in lightweight breathable material, these cotton shorts for girls provide all-day comfort, making them ideal shorts for kids girls for warm-weather wear and easy daily movement.
*PLEATED FRONT FOR ELEVATED LOOK: The front pleat detailing adds structure and sophistication, giving these girls shorts a refined finish, making them versatile shorts for girls suitable for both casual and styled occasions.
*VERSATILE PREMIUM STYLING ESSENTIAL: These kids girls shorts pair effortlessly with tops and shirts, making them essential shorts for kids that balance comfort, style, and versatility for modern everyday wardrobe needs.</t>
        </is>
      </c>
      <c r="N118" s="48" t="inlineStr">
        <is>
          <t>Add a refined edge to everyday styling with these Purple United Kids Girls Shorts, designed in a rich tone for a sophisticated and modern look. Crafted from breathable fabric, these cotton shorts for girls ensure all-day comfort, making them ideal shorts for kids girls for warm-weather wear.
Featuring a structured waistband with clean detailing, these shorts for girls offer a tailored and polished silhouette. The utility-inspired pocket design enhances functionality while adding a contemporary touch, making these girls shorts both stylish and practical.
The pleated front detail elevates the overall look, giving these kids shorts a more refined finish suitable for both casual outings and dressed-up occasions. Designed for ease and movement, these shorts for kids provide comfort without compromising on style.
Perfectly versatile, these kids girls shorts pair effortlessly with a variety of tops, making them a premium wardrobe essential that combines modern design, breathable comfort, and everyday functionality.</t>
        </is>
      </c>
    </row>
    <row r="119">
      <c r="A119" s="42" t="n"/>
      <c r="B119" s="34" t="inlineStr">
        <is>
          <t>PBDNHS003004</t>
        </is>
      </c>
      <c r="C119" s="34" t="inlineStr">
        <is>
          <t>APPAREL</t>
        </is>
      </c>
      <c r="D119" s="34" t="inlineStr">
        <is>
          <t>SHORTS</t>
        </is>
      </c>
      <c r="E119" s="34" t="inlineStr">
        <is>
          <t>KIDS BOYS</t>
        </is>
      </c>
      <c r="F119" s="34" t="inlineStr">
        <is>
          <t>DK. BLUE</t>
        </is>
      </c>
      <c r="G119" s="34" t="inlineStr">
        <is>
          <t>PBDNHS003004-DK. BLUE</t>
        </is>
      </c>
      <c r="H119" s="49" t="inlineStr">
        <is>
          <t>Purple United Kids Boys Denim Shorts with Washed Finish | Soft Fabric | Easy Fit Waist | Utility Pocket Styling and Comfortable Daily Kids Active Wear Design</t>
        </is>
      </c>
      <c r="I119" s="48" t="inlineStr">
        <is>
          <t>Boys Dark Blue Denim Shorts</t>
        </is>
      </c>
      <c r="J119" s="49" t="inlineStr">
        <is>
          <t>Purple United Kids Boys Drawstring Waist Utility Design Active Wear Dark Blue Denim Shorts</t>
        </is>
      </c>
      <c r="K119" s="49" t="inlineStr">
        <is>
          <t>Kids Boys Denim Shorts in Dark Blue with Drawstring Waist &amp; Utility Design for Active Wear</t>
        </is>
      </c>
      <c r="L119" s="49" t="inlineStr">
        <is>
          <t>Purple United Kids Boys Shorts in Dark Blue Denim with Drawstring Waist &amp; Utility Design</t>
        </is>
      </c>
      <c r="M119" s="51" t="inlineStr">
        <is>
          <t>*PREMIUM WASHED DENIM AESTHETIC: Crafted in rich color denim, these kids boys shorts deliver a modern textured look, making them stylish denim shorts and versatile shorts for boys for everyday elevated dressing.
*ADJUSTABLE DRAWSTRING WAIST COMFORT: Featuring an elasticated waistband with functional drawstring, these shorts for kids boys ensure a secure flexible fit, making them comfortable half pant for boys for active all-day wear.
*UTILITY INSPIRED POCKET DETAILING: Designed with multiple functional pockets and detailed stitching, these boys shorts offer practicality with style, making them reliable kids shorts for carrying essentials during everyday activities.
*SOFT &amp; BREATHABLE FEEL: Made from soft-touch fabric, these cotton shorts for kids boys provide breathable comfort, making them ideal summer denim shorts and easy-to-wear kids boys bermuda for warm days.
*VERSATILE EVERYDAY WARDROBE ESSENTIAL: These kids boys shorts pair effortlessly with tees and shirts, making them go-to shorts for boys and practical boy shorts for casual outings, travel, and everyday styling.</t>
        </is>
      </c>
      <c r="N119" s="48" t="inlineStr">
        <is>
          <t>Upgrade everyday essentials with these premium Purple United Kids Boys Shorts, designed in a rich washed finish for a modern and versatile look. These denim shorts combine style and comfort, making them ideal shorts for boys for daily wear.
Featuring an elasticated waistband with an adjustable drawstring, these shorts for kids boys ensure a secure and flexible fit, making them a comfortable half pant for boys for all-day activity. The soft-touch fabric enhances breathability, positioning these as reliable cotton shorts for kids boys and perfect summer denim shorts.
Utility-inspired pockets with detailed stitching add both function and style, making these boys shorts practical for everyday use. The structured yet relaxed silhouette allows ease of movement, making these kids shorts ideal for active routines.
Designed for versatility, these kids boys shorts pair effortlessly with casual tops, making them a wardrobe essential that delivers premium design, durability, and everyday comfort with a refined finish.</t>
        </is>
      </c>
    </row>
    <row r="120">
      <c r="A120" s="42" t="n"/>
      <c r="B120" s="34" t="inlineStr">
        <is>
          <t>PBDNHS003004</t>
        </is>
      </c>
      <c r="C120" s="34" t="inlineStr">
        <is>
          <t>APPAREL</t>
        </is>
      </c>
      <c r="D120" s="34" t="inlineStr">
        <is>
          <t>SHORTS</t>
        </is>
      </c>
      <c r="E120" s="34" t="inlineStr">
        <is>
          <t>KIDS BOYS</t>
        </is>
      </c>
      <c r="F120" s="34" t="inlineStr">
        <is>
          <t>LT. BLUE</t>
        </is>
      </c>
      <c r="G120" s="34" t="inlineStr">
        <is>
          <t>PBDNHS003004-LT. BLUE</t>
        </is>
      </c>
      <c r="H120" s="49" t="inlineStr">
        <is>
          <t>Purple United Kids Boys Denim Shorts with Washed Finish | Soft Fabric | Easy Fit Waist | Utility Pocket Styling and Comfortable Daily Kids Active Wear Design</t>
        </is>
      </c>
      <c r="I120" s="48" t="inlineStr">
        <is>
          <t>Boys Light Blue Denim Shorts</t>
        </is>
      </c>
      <c r="J120" s="49" t="inlineStr">
        <is>
          <t>Purple United Kids Boys Drawstring Waist Utility Style Active Wear Light Blue Denim Shorts</t>
        </is>
      </c>
      <c r="K120" s="49" t="inlineStr">
        <is>
          <t>Kids Boys Denim Shorts in Light Blue with Drawstring Waist &amp; Utility Design for Active Wear</t>
        </is>
      </c>
      <c r="L120" s="49" t="inlineStr">
        <is>
          <t>Purple United Kids Boys Shorts in Light Blue Denim with Drawstring Waist &amp; Utility Design</t>
        </is>
      </c>
      <c r="M120" s="51" t="inlineStr">
        <is>
          <t>*PREMIUM WASHED DENIM AESTHETIC: Crafted in rich color denim, these kids boys shorts deliver a modern textured look, making them stylish denim shorts and versatile shorts for boys for everyday elevated dressing.
*ADJUSTABLE DRAWSTRING WAIST COMFORT: Featuring an elasticated waistband with functional drawstring, these shorts for kids boys ensure a secure flexible fit, making them comfortable half pant for boys for active all-day wear.
*UTILITY INSPIRED POCKET DETAILING: Designed with multiple functional pockets and detailed stitching, these boys shorts offer practicality with style, making them reliable kids shorts for carrying essentials during everyday activities.
*SOFT &amp; BREATHABLE FEEL: Made from soft-touch fabric, these cotton shorts for kids boys provide breathable comfort, making them ideal summer denim shorts and easy-to-wear kids boys bermuda for warm days.
*VERSATILE EVERYDAY WARDROBE ESSENTIAL: These kids boys shorts pair effortlessly with tees and shirts, making them go-to shorts for boys and practical boy shorts for casual outings, travel, and everyday styling.</t>
        </is>
      </c>
      <c r="N120" s="48" t="inlineStr">
        <is>
          <t>Upgrade everyday essentials with these premium Purple United Kids Boys Shorts, designed in a rich washed finish for a modern and versatile look. These denim shorts combine style and comfort, making them ideal shorts for boys for daily wear.
Featuring an elasticated waistband with an adjustable drawstring, these shorts for kids boys ensure a secure and flexible fit, making them a comfortable half pant for boys for all-day activity. The soft-touch fabric enhances breathability, positioning these as reliable cotton shorts for kids boys and perfect summer denim shorts.
Utility-inspired pockets with detailed stitching add both function and style, making these boys shorts practical for everyday use. The structured yet relaxed silhouette allows ease of movement, making these kids shorts ideal for active routines.
Designed for versatility, these kids boys shorts pair effortlessly with casual tops, making them a wardrobe essential that delivers premium design, durability, and everyday comfort with a refined finish.</t>
        </is>
      </c>
    </row>
    <row r="121">
      <c r="A121" s="42" t="n"/>
      <c r="B121" s="34" t="inlineStr">
        <is>
          <t>PGDRSS002826</t>
        </is>
      </c>
      <c r="C121" s="34" t="inlineStr">
        <is>
          <t>APPAREL</t>
        </is>
      </c>
      <c r="D121" s="34" t="inlineStr">
        <is>
          <t>DRESS</t>
        </is>
      </c>
      <c r="E121" s="34" t="inlineStr">
        <is>
          <t>KIDS GIRLS</t>
        </is>
      </c>
      <c r="F121" s="34" t="inlineStr">
        <is>
          <t>OFF-WHITE</t>
        </is>
      </c>
      <c r="G121" s="34" t="inlineStr">
        <is>
          <t>PGDRSS002826-OFF-WHITE</t>
        </is>
      </c>
      <c r="H121" s="49" t="inlineStr">
        <is>
          <t>Purple United Kids Girls Dress with Textured Pleated Fabric | Polka Dot Print | Ruffle Sleeves | Soft Lining for Lightweight Comfort and Elegant Everyday Kids Casual Wear</t>
        </is>
      </c>
      <c r="I121" s="48" t="inlineStr">
        <is>
          <t>Girls Polka Dot Pleated Dress</t>
        </is>
      </c>
      <c r="J121" s="49" t="inlineStr">
        <is>
          <t>Purple United Kids Girls Polka Dots Pleated Fabric Ruffle Sleeves Daily Comfort Wear Dress</t>
        </is>
      </c>
      <c r="K121" s="49" t="inlineStr">
        <is>
          <t>Kids Girls Dress with Polka Dots, Pleated Fabric &amp; Ruffle Sleeves, Perfect for Comfort Wear</t>
        </is>
      </c>
      <c r="L121" s="49" t="inlineStr">
        <is>
          <t>Purple United Kids Girls Dress with Polka Dots, Pleated Fabric &amp; Ruffle Sleeves</t>
        </is>
      </c>
      <c r="M121" s="51" t="inlineStr">
        <is>
          <t>*ELEGANT POLKA DOT DESIGN: Designed with a timeless polka dot pattern, this kids girls dress adds charm to everyday styling, making it a stylish dress for girls and a versatile girls dress for multiple occasions.
*TEXTURED PLEATED FABRIC FEEL: The softly pleated fabric gives this girls dress a rich texture and flowy movement, making it a refined kids dress for girls and a comfortable summer dress for girls.
*LIGHTWEIGHT &amp; BREATHABLE COMFORT: Crafted for all-day ease, this kids girls dress offers a breathable feel, making it ideal as a girls casual wear dress and comfortable summer wear for baby girl.
*SOFT INNER LINING SUPPORT: Designed with a smooth inner layer, this baby girl dress ensures comfort and coverage, making it a reliable dress for baby girl suitable for extended wear and daily use.
*VERSATILE EVERYDAY &amp; PARTY STYLING: This kids girls dress works beautifully as a party wear dress for kids girls or a girls party wear dress, while also being perfect for casual outings and special occasions.</t>
        </is>
      </c>
      <c r="N121" s="48" t="inlineStr">
        <is>
          <t>Add a touch of elegance to everyday dressing with this premium Purple United Kids Girls Dress, designed with a classic polka dot pattern and softly textured pleated fabric. This kids dress for girls blends style and comfort, making it a versatile dress for girls for both casual and special occasions.
The lightweight construction ensures breathability, making it an ideal summer dress for girls and perfect summer wear for baby girl. The flowy silhouette enhances movement, while the delicate ruffle sleeves add a refined and stylish finish, elevating this girls dress effortlessly.
Designed with a soft inner lining, this baby girl dress provides added comfort and ease, making it suitable as a girls casual wear dress or even a subtle party wear dress for kids girls. The back button closure ensures easy wearability for everyday use.
A perfect blend of charm and practicality, this kids girls dress pairs beautifully with sandals or flats, making it a must-have addition to modern kids clothes for girls with a premium fashion-forward appeal.</t>
        </is>
      </c>
    </row>
    <row r="122">
      <c r="A122" s="42" t="n"/>
      <c r="B122" s="34" t="inlineStr">
        <is>
          <t>PGTOPS002848</t>
        </is>
      </c>
      <c r="C122" s="34" t="inlineStr">
        <is>
          <t>APPAREL</t>
        </is>
      </c>
      <c r="D122" s="34" t="inlineStr">
        <is>
          <t>TOP</t>
        </is>
      </c>
      <c r="E122" s="34" t="inlineStr">
        <is>
          <t>KIDS GIRLS</t>
        </is>
      </c>
      <c r="F122" s="34" t="inlineStr">
        <is>
          <t>LT. GREEN</t>
        </is>
      </c>
      <c r="G122" s="34" t="inlineStr">
        <is>
          <t>PGTOPS002848-LT. GREEN</t>
        </is>
      </c>
      <c r="H122" s="49" t="inlineStr">
        <is>
          <t>Purple United Kids Girls Top with Textured Cotton Fabric | Embellished Collar Detailing | Soft Puff Sleeves | Scalloped Hem &amp; Comfortable Fit for Elevated Summer Styling</t>
        </is>
      </c>
      <c r="I122" s="48" t="inlineStr">
        <is>
          <t>Girls Embellished Collar Top</t>
        </is>
      </c>
      <c r="J122" s="49" t="inlineStr">
        <is>
          <t>Purple United Kids Girls Light Green Embellished Collar Soft Textured Fabric Stylish Top</t>
        </is>
      </c>
      <c r="K122" s="49" t="inlineStr">
        <is>
          <t>Kids Girls Top in Light Green with Soft Textured Fabric, Comfort Fit &amp; Embellished Collar</t>
        </is>
      </c>
      <c r="L122" s="49" t="inlineStr">
        <is>
          <t>Purple United Kids Girls Top with Embellished Collar, Textured Fabric &amp; Scallop Hem</t>
        </is>
      </c>
      <c r="M122" s="51" t="inlineStr">
        <is>
          <t>*ELEGANT EMBELLISHED COLLAR DETAIL: Designed with delicate stone embellishments on the collar, this kids girls top adds a refined touch, making it a standout top for girls and one of the most stylish girls tops.
*TEXTURED COTTON FABRIC FEEL: Crafted from soft breathable material, this kids girls cotton tops piece ensures comfort, making it ideal for summer wear for girls and perfect as everyday tops for girls.
*SOFT PUFF SLEEVES DESIGN: Featuring gently gathered puff sleeves, this girls flutter sleeves tops style enhances overall charm, making it a beautiful girl top option for both casual and slightly dressy looks.
*SCALLOPED HEM FINISHING: The subtle scalloped hem adds a premium design element, giving this kids girls top a polished look while making it one of the most beautiful tops for girls kids.
*VERSATILE SUMMER STYLING ESSENTIAL: Perfect for everyday dressing, this kids girls top pairs effortlessly with shorts and skirts, making it a must-have for kids daily wear for girls and summer wear for baby girl.</t>
        </is>
      </c>
      <c r="N122" s="48" t="inlineStr">
        <is>
          <t>Add a refined touch to everyday styling with this premium Purple United Kids Girls Top, designed in a fresh tone with delicate textured detailing. Crafted from breathable fabric, this kids girls cotton tops piece ensures all-day comfort, making it ideal for summer wear for girls and effortless daily styling.
The beautifully embellished collar elevates this top for girls, adding a subtle yet elegant highlight, while the soft puff sleeves enhance its overall charm, making it a standout among girls tops. The scalloped hemline adds a polished finish, giving this girl top a premium and thoughtfully designed look.
Lightweight and easy to wear, this kids girls top is perfect for kids daily wear for girls, offering both comfort and style. It pairs seamlessly with skirts, shorts, or trousers, making it a versatile addition to kids summer wear for girls wardrobes.
A perfect blend of elegance and ease, this tops for girls piece reflects modern design with everyday functionality, making it an essential in premium girls tops collections.</t>
        </is>
      </c>
    </row>
    <row r="123">
      <c r="A123" s="42" t="n"/>
      <c r="B123" s="34" t="inlineStr">
        <is>
          <t>PGTSHS003498</t>
        </is>
      </c>
      <c r="C123" s="34" t="inlineStr">
        <is>
          <t>APPAREL</t>
        </is>
      </c>
      <c r="D123" s="34" t="inlineStr">
        <is>
          <t>T-SHIRT</t>
        </is>
      </c>
      <c r="E123" s="34" t="inlineStr">
        <is>
          <t>KIDS GIRLS</t>
        </is>
      </c>
      <c r="F123" s="34" t="inlineStr">
        <is>
          <t>LT. YELLOW</t>
        </is>
      </c>
      <c r="G123" s="34" t="inlineStr">
        <is>
          <t>PGTSHS003498-LT. YELLOW</t>
        </is>
      </c>
      <c r="H123" s="49" t="inlineStr">
        <is>
          <t>Purple United Kids Girls Tshirt with Soft Cotton Fabric | Graphic Print | Breathable Feel | Comfortable Everyday Fit | Perfect for Easy Summer Daily Kids Wear</t>
        </is>
      </c>
      <c r="I123" s="48" t="inlineStr">
        <is>
          <t>Kids Girls Casual Wear Tshirt</t>
        </is>
      </c>
      <c r="J123" s="49" t="inlineStr">
        <is>
          <t>Purple United Kids Girls Light Yellow Graphic Print Cotton Fabric Comfortable Fit Tshirt</t>
        </is>
      </c>
      <c r="K123" s="49" t="inlineStr">
        <is>
          <t>Kids Girls Tshirt in Light Yellow with Graphic Print, Soft Cotton Fabric &amp; Comfortable Fit</t>
        </is>
      </c>
      <c r="L123" s="49" t="inlineStr">
        <is>
          <t>Purple United Kids Girls Tshirt in Light Yellow with Soft Fabric &amp; Comfort Fit</t>
        </is>
      </c>
      <c r="M123" s="51" t="inlineStr">
        <is>
          <t>*GRAPHIC PRINT DESIGN: Designed with a playful front print, this kids girls tshirt adds charm to everyday looks, making it a trendy t shirt for girls and a standout piece in girls' t-shirts collections.
*SOFT COTTON COMFORT FEEL: Crafted from soft breathable fabric, this girls tshirt ensures all-day comfort, making it perfect for kids summer wear for girls and ideal tshirt for girls for daily use.
*LIGHTWEIGHT &amp; BREATHABLE WEAR: The airy construction of this kids tshirt keeps it light and comfortable, making it a go-to choice for summer wear for girls and easy everyday girls tshirt styling.
*RELAXED COMFORTABLE FIT DESIGN: Designed for ease of movement, this t shirt for girls offers a relaxed fit, making it suitable for active days and a reliable kids girls tshirt for everyday wear.
*VERSATILE DAILY STYLING ESSENTIAL: This kids girls tshirt pairs effortlessly with shorts, jeans or skirts, making it a must-have for girls clothes and perfect for casual outings and comfortable everyday looks.</t>
        </is>
      </c>
      <c r="N123" s="48" t="inlineStr">
        <is>
          <t>Refresh everyday essentials with this premium Purple United Kids Girls Tshirt, designed in a soft light tone with a playful graphic print that adds charm to casual styling. Crafted from breathable fabric, this kids girls tshirt ensures all-day comfort, making it an ideal choice for summer wear for girls.
The lightweight construction enhances ease of movement, while the soft cotton feel makes this girls tshirt perfect for daily wear. The relaxed fit offers comfort and flexibility, making it a reliable t shirt for girls for active routines and casual outings.
Designed to be versatile, this kids tshirt pairs effortlessly with shorts, jeans, and skirts, making it a staple in girls clothes collections. The cheerful graphic detail adds a fun yet stylish element, ensuring this tshirt for girls stands out while remaining easy to wear.
A perfect blend of comfort, style, and everyday practicality, this kids girls tshirt reflects modern design with a premium touch, making it an essential for effortless summer dressing.</t>
        </is>
      </c>
    </row>
    <row r="124">
      <c r="A124" s="42" t="n"/>
      <c r="B124" s="34" t="inlineStr">
        <is>
          <t>PGTSHS003311</t>
        </is>
      </c>
      <c r="C124" s="34" t="inlineStr">
        <is>
          <t>APPAREL</t>
        </is>
      </c>
      <c r="D124" s="34" t="inlineStr">
        <is>
          <t>T-SHIRT</t>
        </is>
      </c>
      <c r="E124" s="34" t="inlineStr">
        <is>
          <t>KIDS GIRLS</t>
        </is>
      </c>
      <c r="F124" s="34" t="inlineStr">
        <is>
          <t>MAROON</t>
        </is>
      </c>
      <c r="G124" s="34" t="inlineStr">
        <is>
          <t>PGTSHS003311-MAROON</t>
        </is>
      </c>
      <c r="H124" s="49" t="inlineStr">
        <is>
          <t>Purple United Kids Girls Tshirt with Graphic Print | Soft Cotton Fabric | Ruffle Sleeves | Comfortable Breathable Fit for Stylish Everyday Summer Kids Wear</t>
        </is>
      </c>
      <c r="I124" s="48" t="inlineStr">
        <is>
          <t>Kids Girls Ruffle Style Tshirt</t>
        </is>
      </c>
      <c r="J124" s="49" t="inlineStr">
        <is>
          <t>Purple United Kids Girls Maroon Ruffle Sleeves Soft Cotton Feel Casual Wear Tshirt</t>
        </is>
      </c>
      <c r="K124" s="49" t="inlineStr">
        <is>
          <t>Kids Girls Tshirt in Maroon with Ruffle Sleeves &amp; Soft Cotton Feel, Perfect for Summers</t>
        </is>
      </c>
      <c r="L124" s="49" t="inlineStr">
        <is>
          <t>Purple United Kids Girls Tshirt in Maroon with Ruffle Sleeves &amp; Soft Cotton Feel</t>
        </is>
      </c>
      <c r="M124" s="51" t="inlineStr">
        <is>
          <t>*GRAPHIC PRINT DESIGN: Featuring a bold “Adore” print, this kids girls tshirt adds a stylish statement, making it a trendy t shirt for girls and a standout piece in girls' t-shirts collections.
*SOFT COTTON COMFORT FEEL: Crafted from soft breathable fabric, this girls tshirt ensures all-day comfort, making it ideal for kids summer wear for girls and perfect tshirt for girls for everyday use.
*RUFFLE SLEEVE STYLING DETAIL: Designed with soft ruffle sleeves, this t-shirt for girls adds a playful and stylish touch, making it a unique girl top option among modern girls tops.
*LIGHTWEIGHT &amp; BREATHABLE WEAR: The airy construction of this kids tshirt keeps it light and easy to wear, making it perfect for summer wear for girls and comfortable daily girls tshirt styling.
*VERSATILE DAILY WEAR ESSENTIAL: This kids girls tshirt pairs effortlessly with shorts, jeans or skirts, making it a must-have in girls clothes and ideal for casual outings and everyday comfortable looks.</t>
        </is>
      </c>
      <c r="N124" s="48" t="inlineStr">
        <is>
          <t>Add a stylish statement to everyday dressing with this premium Purple United Kids Girls Tshirt, designed in a rich shade with a bold “Adore” graphic print. This kids girls tshirt blends comfort with modern style, making it a standout t shirt for girls for daily wear.
Crafted from soft breathable fabric, this girls tshirt ensures all-day comfort, making it perfect for kids summer wear for girls. The lightweight feel enhances ease of movement, while the ruffle sleeves add a playful and stylish detail, elevating this tshirt for girls beyond basic essentials.
Designed for versatility, this kids tshirt pairs effortlessly with shorts, skirts, or jeans, making it a reliable choice in girls clothes collections. The relaxed fit ensures comfort throughout the day, making it suitable for both casual outings and everyday wear.
A perfect mix of comfort, style, and thoughtful detailing, this kids girls tshirt reflects premium design with a modern touch, making it an essential addition to contemporary wardrobes.</t>
        </is>
      </c>
    </row>
    <row r="125">
      <c r="A125" s="42" t="n"/>
      <c r="B125" s="34" t="inlineStr">
        <is>
          <t>PGTOPS002847</t>
        </is>
      </c>
      <c r="C125" s="34" t="inlineStr">
        <is>
          <t>APPAREL</t>
        </is>
      </c>
      <c r="D125" s="34" t="inlineStr">
        <is>
          <t>TOP</t>
        </is>
      </c>
      <c r="E125" s="34" t="inlineStr">
        <is>
          <t>KIDS GIRLS</t>
        </is>
      </c>
      <c r="F125" s="34" t="inlineStr">
        <is>
          <t>LT. GREEN</t>
        </is>
      </c>
      <c r="G125" s="34" t="inlineStr">
        <is>
          <t>PGTOPS002847-LT. GREEN</t>
        </is>
      </c>
      <c r="H125" s="49" t="inlineStr">
        <is>
          <t>Purple United Kids Girls Top in Pique Fabric with Sleeveless &amp; Polo Collar Design | Breathable Summer Wear Styling | Lightweight Comfortable Fit | Casual Daily Kids Girls Wear</t>
        </is>
      </c>
      <c r="I125" s="48" t="inlineStr">
        <is>
          <t>Kids Girls Daily Casual Top</t>
        </is>
      </c>
      <c r="J125" s="49" t="inlineStr">
        <is>
          <t xml:space="preserve">Purple United Kids Girls Light Green Airy Fabric Polo Collar Sleeveless Casual Wear Top </t>
        </is>
      </c>
      <c r="K125" s="49" t="inlineStr">
        <is>
          <t>Kids Girls Top in Light Green with Breathable Fabric, Polo Collar &amp; Sleeveless Summer Wear</t>
        </is>
      </c>
      <c r="L125" s="49" t="inlineStr">
        <is>
          <t>Purple United Kids Girls Top in Light Green with Sleeveless &amp; Polo Collar Design</t>
        </is>
      </c>
      <c r="M125" s="51" t="inlineStr">
        <is>
          <t>*SLEEVELESS SUMMER DESIGN: This Kids Girls Top features a sleeveless silhouette that enhances airflow and keeps the feel light. The comfortable construction supports easy movement, making it suitable for summer wear and everyday styling.
*TEXTURED PIQUE FABRIC: Crafted in breathable textured pique fabric, this Top For Girls offers a soft feel with lightweight comfort. The fabric helps maintain shape while ensuring easy wear for extended hours.
*LIGHTWEIGHT COMFORT FIT: Designed with a relaxed fit, this Kids Girls Top ensures comfortable wear. The lightweight construction supports movement and makes it ideal for active days and summer use.
*CLEAN HEM FINISH: The neatly finished hem enhances the overall look of this Top For Girls. It maintains a structured fall while keeping the styling minimal and premium.
*EASY SUMMER STYLING: This Kids Girls Top pairs effortlessly with shorts, skirts, and jeans. The versatile design makes it suitable for casual outings, travel, and everyday summer styling.</t>
        </is>
      </c>
      <c r="N125" s="48" t="inlineStr">
        <is>
          <t>Designed for warm-weather comfort and smart casual styling, this Kids Girls Top from Purple United Kids blends a clean silhouette with breathable construction. The sleeveless design enhances airflow and keeps the overall feel light, making it ideal for summer wear for girls. A structured polo collar adds a polished touch, giving this Top For Girls a refined look suitable for both casual outings and everyday dressing.
Crafted in textured pique fabric, this Kids Girls Top offers a soft feel with lightweight comfort. The breathable construction helps maintain ease during active movement, while the structured finish keeps the silhouette neat. The relaxed fit allows comfortable wear throughout the day, making it suitable for kids daily wear for girls and summer styling.
This Top For Girls pairs effortlessly with shorts, skirts, and jeans, creating versatile outfit options. Perfect as kids summer wear for girls, this Kids Girls Top combines smart styling, breathable comfort, and everyday usability, making it a practical and stylish wardrobe essential.</t>
        </is>
      </c>
    </row>
    <row r="126">
      <c r="A126" s="42" t="n"/>
      <c r="B126" s="34" t="inlineStr">
        <is>
          <t>PBPOHS002797</t>
        </is>
      </c>
      <c r="C126" s="34" t="inlineStr">
        <is>
          <t>APPAREL</t>
        </is>
      </c>
      <c r="D126" s="34" t="inlineStr">
        <is>
          <t>POLO T-SHIRT</t>
        </is>
      </c>
      <c r="E126" s="34" t="inlineStr">
        <is>
          <t>KIDS BOYS</t>
        </is>
      </c>
      <c r="F126" s="34" t="inlineStr">
        <is>
          <t>RED</t>
        </is>
      </c>
      <c r="G126" s="34" t="inlineStr">
        <is>
          <t>PBPOHS002797-RED</t>
        </is>
      </c>
      <c r="H126" s="49" t="inlineStr">
        <is>
          <t>Purple United Kids Boys Polo Tshirt with Tipped Collar | Soft Breathable Fabric | Button Placket | Short Sleeves &amp; Smart Casual Everyday Styling Premium Polo Tshirt for Boys</t>
        </is>
      </c>
      <c r="I126" s="48" t="inlineStr">
        <is>
          <t>Kids Boys Red Polo Tshirt</t>
        </is>
      </c>
      <c r="J126" s="49" t="inlineStr">
        <is>
          <t>Purple United Kids Boys Tipped Collar Breathable Fabric Casual Styling Red Polo Tshirt</t>
        </is>
      </c>
      <c r="K126" s="49" t="inlineStr">
        <is>
          <t>Kids Polo Tshirt in Red with Tipped Collar, Soft Breathable Fabric &amp; Smart Casual Styling for Boys</t>
        </is>
      </c>
      <c r="L126" s="49" t="inlineStr">
        <is>
          <t>Purple United Kids Boys Polo Tshirt in Red with Soft Fabric For Everyday Wear</t>
        </is>
      </c>
      <c r="M126" s="51" t="inlineStr">
        <is>
          <t>*PREMIUM POLO COLLAR DESIGN: This Kids Polo tshirt features a structured tipped collar that adds a refined, polished look. It enhances overall styling, making it suitable for smart casual wear and elevated everyday dressing.
*SOFT BREATHABLE FABRIC: Crafted from soft breathable fabric, this Kids Polo tshirt ensures all-day comfort. The lightweight feel keeps it gentle on skin while allowing easy movement, making it perfect for active daily wear.
*CLASSIC BUTTON PLACKET: Designed with a neat button placket, this Kids Polo tshirt delivers timeless polo styling. It offers easy wearability while maintaining a structured look, adding both functionality and style to everyday outfits.
*SMART SHORT SLEEVE STYLING: The short sleeve design of this Kids Polo tshirt enhances comfort and breathability. It creates a clean, modern look, making it suitable for both casual outings and slightly dressed-up occasions.
*VERSATILE SMART CASUAL WEAR: This Kids Polo tshirt pairs effortlessly with jeans, trousers, and shorts. Its versatile design makes it an essential wardrobe piece, suitable for everyday wear, outings, and occasions requiring a smart look.</t>
        </is>
      </c>
      <c r="N126" s="48" t="inlineStr">
        <is>
          <t>Designed for smart everyday dressing, this Kids Polo tshirt from Purple United Kids blends classic polo styling with modern comfort. The structured collar with contrast tipping enhances the refined look, while the clean silhouette keeps the design versatile for multiple occasions. A neat button placket adds to the timeless appeal, and subtle chest branding delivers a premium finish, making this Kids Polo tshirt suitable for both casual outings and slightly dressed-up moments. The short sleeve construction ensures ease of movement and adds to the breathable feel, helping kids stay comfortable throughout the day.
Crafted from soft and breathable fabric, this Kids Polo tshirt offers a smooth feel on the skin and supports all-day wear. The lightweight build helps maintain comfort during active routines, while the structured design keeps the look polished. Easy to pair with jeans, trousers, or shorts, this Kids Polo tshirt works as a versatile wardrobe essential. Combining comfort, smart styling, and premium Purple United detailing, this Kids Polo tshirt is designed to deliver everyday ease with a refined finish.</t>
        </is>
      </c>
    </row>
    <row r="127">
      <c r="A127" s="42" t="n"/>
      <c r="B127" s="34" t="inlineStr">
        <is>
          <t>PBDNHS003005</t>
        </is>
      </c>
      <c r="C127" s="34" t="inlineStr">
        <is>
          <t>APPAREL</t>
        </is>
      </c>
      <c r="D127" s="34" t="inlineStr">
        <is>
          <t>SHORTS</t>
        </is>
      </c>
      <c r="E127" s="34" t="inlineStr">
        <is>
          <t>KIDS BOYS</t>
        </is>
      </c>
      <c r="F127" s="34" t="inlineStr">
        <is>
          <t>WHITE</t>
        </is>
      </c>
      <c r="G127" s="34" t="inlineStr">
        <is>
          <t>PBDNHS003005-WHITE</t>
        </is>
      </c>
      <c r="H127" s="49" t="inlineStr">
        <is>
          <t>Purple United Kids Boys Shorts | Contrast Stitch Design | Soft Premium Fabric | Breathable Comfort Fit | White | Everyday Summer Wear for Boys | Perfect for Active Daily Use</t>
        </is>
      </c>
      <c r="I127" s="48" t="inlineStr">
        <is>
          <t>Kids Boys Classic White Shorts</t>
        </is>
      </c>
      <c r="J127" s="49" t="inlineStr">
        <is>
          <t xml:space="preserve">Purple United Kids Boys White Soft Fabric Comfort Relaxed Fit Casual Active Wear Shorts </t>
        </is>
      </c>
      <c r="K127" s="49" t="inlineStr">
        <is>
          <t>Kids Boys Shorts in White with Soft &amp; Sweat-Friendly Fabric, Comfort Fit for Active Wear</t>
        </is>
      </c>
      <c r="L127" s="49" t="inlineStr">
        <is>
          <t>Purple United Kids Boys Shorts in White with Soft Fabric &amp; Comfort Relaxed Fit</t>
        </is>
      </c>
      <c r="M127" s="51" t="inlineStr">
        <is>
          <t>* SOFT ALL-DAY COMFORT: Crafted from soft breathable fabric, these Kids Boys Shorts deliver lightweight comfort and easy movement, making them ideal shorts for boys for summer wear, outings, playtime, and daily use.
* RELAXED EASY FIT: Designed for growing boys with a comfortable regular fit, secure waistband, and flexible structure. These boys shorts allow easy movement for active kids and everyday comfort.
* LONG-LASTING QUALITY: Made with premium stitching, strong seams, and quality fabric, these kids boys shorts maintain shape, colour freshness, and softness even after repeated washing and regular wear.
* CLEAN CASUAL LOOK: Styled in a crisp shade with functional pocket detailing, these shorts for boys offer a smart versatile look perfect for holidays, casual outings, and summer dressing.
* EASY MAINTENANCE: Machine wash cold with similar colours, dry in shade, and avoid bleach. Package includes 1 pair of Kids Boys Shorts designed for stylish everyday wear and comfort.</t>
        </is>
      </c>
      <c r="N127" s="48" t="inlineStr">
        <is>
          <t>Upgrade everyday style with these Purple United Kids Boys Shorts in a crisp shade. Designed for modern active kids, these premium shorts for boys combine clean aesthetics, lightweight comfort, and versatile wear, making them an essential choice for summer dressing, outings, and everyday play.
Crafted from soft breathable fabric, these kids boys shorts offer a lightweight feel and smooth touch for all-day comfort. The premium woven material helps maintain airflow during warm weather. Designed with a secure waistband, functional side pockets, and a comfortable regular fit, these boys shorts ensure easy movement. Contrast stitch detailing adds a refined modern finish. Durable seams and quality stitching help retain structure after repeated washes. The crisp colour creates a smart versatile look, making these cotton shorts for kids boys suitable for both casual and dressed-up styling.
These Kids Boys Shorts are made to deliver comfort, durability, and effortless style. Breathable fabric helps keep kids cool during active routines, while the lightweight construction supports unrestricted movement. Strong stitching ensures long-lasting wear, making them reliable for regular use. The clean shade pairs easily with t shirts, polos, and shirts for multiple outfit combinations. Functional pockets add daily convenience, while the structured fit keeps a neat appearance. Whether indoors or outdoors, these shorts for boys keep your child comfortable and stylish throughout the day.
Perfect for park visits, family outings, vacations, birthday gatherings, casual lunches, and weekend wear, these boys shorts suit multiple occasions. Pair them with casual t shirts for playtime or polos for a smarter look. A practical half pant for boys ideal for summer travel and daily styling.
Choose the right size for a comfortable regular fit. Machine wash cold with similar colours, dry in shade, and avoid bleach to maintain softness and colour freshness. Package includes 1 pair of Purple United Kids Boys Shorts, ready to refresh everyday wardrobes with premium comfort.</t>
        </is>
      </c>
    </row>
    <row r="128">
      <c r="A128" s="42" t="n"/>
      <c r="B128" s="34" t="inlineStr">
        <is>
          <t>PBDNBS003099</t>
        </is>
      </c>
      <c r="C128" s="34" t="inlineStr">
        <is>
          <t>APPAREL</t>
        </is>
      </c>
      <c r="D128" s="34" t="inlineStr">
        <is>
          <t>BERMUDA</t>
        </is>
      </c>
      <c r="E128" s="34" t="inlineStr">
        <is>
          <t>KIDS BOYS</t>
        </is>
      </c>
      <c r="F128" s="34" t="inlineStr">
        <is>
          <t>LT. BLUE</t>
        </is>
      </c>
      <c r="G128" s="34" t="inlineStr">
        <is>
          <t>PBDNBS003099-LT. BLUE</t>
        </is>
      </c>
      <c r="H128" s="49" t="inlineStr">
        <is>
          <t>Purple United Kids Boys Bermuda | Cargo Utility Design | Comfortable Fit | Durable &amp; Soft Denim Fabric | Light Blue | Everyday Casual Wear | Active Kids Styling Essential</t>
        </is>
      </c>
      <c r="I128" s="48" t="inlineStr">
        <is>
          <t>Kids Boys Denim Cargo Bermuda</t>
        </is>
      </c>
      <c r="J128" s="49" t="inlineStr">
        <is>
          <t>Purple United Kids Boys Light Blue Breathable Denim Cargo Pockets Comfort Fit Bermuda</t>
        </is>
      </c>
      <c r="K128" s="49" t="inlineStr">
        <is>
          <t>Kids Boys Bermuda in Light Blue Denim with Cargo Pockets, Comfort Fit for Active Kids</t>
        </is>
      </c>
      <c r="L128" s="49" t="inlineStr">
        <is>
          <t>Purple United Kids Boys Bermuda in Light Blue Denim with Cargo Pockets &amp; Comfort Fit</t>
        </is>
      </c>
      <c r="M128" s="51" t="inlineStr">
        <is>
          <t>*PREMIUM DENIM COMFORT: Crafted in soft yet durable denim, this boys bermuda ensures all-day comfort with a stylish cargo look, making it a reliable choice in bermuda kids denim boys for everyday wear.
*COMFORTABLE ACTIVE FIT: Designed for growing kids, this bermuda for boys offers a comfortable fit with easy movement, making it suitable for active routines and a dependable kids boys bermuda option.
*STRONG DENIM BUILD: Made with high-quality stitching and durable fabric, this boys bermuda is built for long-lasting wear, making it a practical choice among bermuda shorts for kids boys.
*CARGO UTILITY STYLE: Featuring multiple cargo pockets and a light blue wash, this boys bermuda delivers a modern utility look, making it a stylish pick in bermuda kids denim boys collections.
*EASY MAINTENANCE: This boys bermuda is easy to maintain with regular machine wash, retaining shape and color, making it a convenient everyday essential in kids boys bermuda wardrobes.</t>
        </is>
      </c>
      <c r="N128" s="48" t="inlineStr">
        <is>
          <t>Upgrade everyday style with Purple United Kids Boys Bermuda, crafted in light blue denim with a cargo-inspired look. This boys bermuda is designed for active kids, offering comfort, style, and a modern everyday feel.
Made from durable yet soft denim, this bermuda kids denim boys style features breathable fabric, cargo pockets for utility, and a secure button with zip closure. Lightweight construction ensures ease of movement.
This boys bermuda delivers all-day comfort with a flexible fit, while strong stitching ensures durability. The cargo design adds style, making this bermuda for boys perfect for active play and casual wear.
Ideal for outings, park play, travel, and casual gatherings, this kids boys bermuda pairs easily with t-shirts or shirts, making it a versatile everyday wardrobe essential.
Machine wash with similar colors for best results. Includes one boys bermuda designed for comfort and durability. A must-have bermuda kids denim boys essential for everyday style.</t>
        </is>
      </c>
    </row>
    <row r="129">
      <c r="A129" s="42" t="n"/>
      <c r="B129" s="34" t="inlineStr">
        <is>
          <t>PBDNBS003098</t>
        </is>
      </c>
      <c r="C129" s="34" t="inlineStr">
        <is>
          <t>APPAREL</t>
        </is>
      </c>
      <c r="D129" s="34" t="inlineStr">
        <is>
          <t>BERMUDA</t>
        </is>
      </c>
      <c r="E129" s="34" t="inlineStr">
        <is>
          <t>KIDS BOYS</t>
        </is>
      </c>
      <c r="F129" s="34" t="inlineStr">
        <is>
          <t>MID BLUE</t>
        </is>
      </c>
      <c r="G129" s="34" t="inlineStr">
        <is>
          <t>PBDNBS003098-MID BLUE</t>
        </is>
      </c>
      <c r="H129" s="49" t="inlineStr">
        <is>
          <t>Purple United Kids Boys Bermuda | Utility Cargo Design | Premium Denim Fabric | Multi Pocket Styling | Mid Blue | Comfortable Fit | Durable Stitch | Everyday Active Kids Wear</t>
        </is>
      </c>
      <c r="I129" s="48" t="inlineStr">
        <is>
          <t>Boys Mid Blue Cargo Bermuda</t>
        </is>
      </c>
      <c r="J129" s="49" t="inlineStr">
        <is>
          <t>Purple United Kids Boys Mid Blue Denim Cargo Utility Pocket Design Active Wear Bermuda</t>
        </is>
      </c>
      <c r="K129" s="49" t="inlineStr">
        <is>
          <t>Kids Boys Bermuda in Mid Blue Denim with Cargo Utility Pocket Design for Active Kids Wear</t>
        </is>
      </c>
      <c r="L129" s="49" t="inlineStr">
        <is>
          <t>Purple United Kids Boys Bermuda in Mid Blue Denim with Cargo Utility Pocket Design</t>
        </is>
      </c>
      <c r="M129" s="51" t="inlineStr">
        <is>
          <t>*PREMIUM DENIM COMFORT: Crafted from premium denim fabric, this boys bermuda offers breathable comfort with a soft yet structured feel, making it ideal for all-day wear and active routines in kids boys bermuda styles.
*COMFORT FIT FOR BOYS: Designed specifically for boys, this bermuda for boys features a comfortable fit with easy movement, ensuring flexibility and all-day ease, making it a reliable everyday kids boys bermuda essential.
*STRONG &amp; DURABLE BUILD: Made with high-quality denim and reinforced stitching, this bermuda kids denim boys style ensures durability, long-lasting wear, and shape retention even after frequent washes and regular active use.
*UTILITY CARGO STYLE DESIGN: Featuring multi cargo pockets and a stylish mid blue denim finish, this boys bermuda delivers a modern utility-inspired look, perfect for casual outings, playtime, and everyday wear.
*EASY CARE &amp; COMPLETE PACKAGE: Machine washable for easy care, this bermuda for boys comes as a single piece, offering convenience and versatility, making it an essential kids boys bermuda for daily styling and comfort.</t>
        </is>
      </c>
      <c r="N129" s="48" t="inlineStr">
        <is>
          <t>Discover everyday style with Purple United Kids boys bermuda, designed in a mid blue denim cargo theme. This bermuda for boys blends premium design with comfort, making it a standout kids boys bermuda.
Crafted from durable denim, this bermuda kids denim boys style offers a soft yet structured feel. It features multiple cargo pockets, secure button closure with zip fastening, and a comfortable fit for daily wear.
This boys bermuda ensures all-day comfort with breathable fabric and flexible movement. Strong stitching enhances durability, while the cargo design adds a trendy touch, making it ideal for active lifestyles.
Perfect for outings, travel, playtime, and casual gatherings, this bermuda for boys pairs effortlessly with t-shirts or shirts, making it a versatile kids boys bermuda for everyday wear.
Machine wash with similar colors for best results. This package includes one boys bermuda crafted for comfort and durability. A must-have bermuda kids denim boys essential for modern everyday styling.</t>
        </is>
      </c>
    </row>
    <row r="130">
      <c r="A130" s="42" t="n"/>
      <c r="B130" s="34" t="inlineStr">
        <is>
          <t>TGBAFS003114</t>
        </is>
      </c>
      <c r="C130" s="34" t="inlineStr">
        <is>
          <t>FOOTWEAR</t>
        </is>
      </c>
      <c r="D130" s="34" t="inlineStr">
        <is>
          <t>BALLERINAS</t>
        </is>
      </c>
      <c r="E130" s="34" t="inlineStr">
        <is>
          <t>GIRLS</t>
        </is>
      </c>
      <c r="F130" s="34" t="inlineStr">
        <is>
          <t>RED</t>
        </is>
      </c>
      <c r="G130" s="34" t="inlineStr">
        <is>
          <t>TGBAFS003114-red</t>
        </is>
      </c>
      <c r="H130" s="49" t="inlineStr">
        <is>
          <t>Toothless Kids Girls Ballerinas | Bow Embellished Design | Girls Footwear | Cushioned Insole Comfort | Red | Lightweight Flexible Sole | Party &amp; Occasion Wear</t>
        </is>
      </c>
      <c r="I130" s="48" t="inlineStr">
        <is>
          <t>Kids Girls Red Bow Ballerinas</t>
        </is>
      </c>
      <c r="J130" s="49" t="inlineStr">
        <is>
          <t>Toothless Girls Red Bow Detail Embellished Strap Comfortable Sole Occasion Wear Ballerinas</t>
        </is>
      </c>
      <c r="K130" s="49" t="inlineStr">
        <is>
          <t>Kids Girls Ballerinas in Red with Bow Detail &amp; Embellished Strap, Comfortable Occasion Wear</t>
        </is>
      </c>
      <c r="L130" s="49" t="inlineStr">
        <is>
          <t>Toothless Kids Girls Ballerinas in Red with Bow Detail and Embellished Strap Design</t>
        </is>
      </c>
      <c r="M130" s="51" t="inlineStr">
        <is>
          <t>*PREMIUM SATIN COMFORT FEEL: Crafted with smooth satin finish, these kids girls ballerinas offer a soft touch and elegant look, ensuring breathable comfort and making them ideal ballerina shoes for girls for extended wear.
*SECURE &amp; COMFORTABLE FIT DESIGN: Designed for girls, these ballerinas for girls provide a snug yet flexible fit, ensuring easy slip-on wear and comfort, making them perfect shoes for kids girls for daily or occasion wear.
*DURABLE &amp; LIGHTWEIGHT BUILD: Built with sturdy sole and quality construction, these girls ballerinas ensure long-lasting durability while remaining lightweight, making them reliable kids footwear for girls for regular use and movement.
*ELEGANT BOW &amp; EMBELLISHED DETAIL: Featuring a stylish bow with embellished strap and rich red finish, these ballerinas for kids girls deliver a premium festive look, perfect footwear for girls for parties and special occasions.
*EASY CARE &amp; VERSATILE STYLING: Easy to clean and maintain, these ballerina shoes for girls come as a single pair, pairing effortlessly with dresses or outfits, making them versatile bellies for girls kids for multiple occasions.</t>
        </is>
      </c>
      <c r="N130" s="48" t="inlineStr">
        <is>
          <t>Step into elegance with Toothless kids girls ballerinas in a rich red tone, designed with a refined bow detail. These ballerinas for girls bring premium styling and comfort to everyday footwear for girls.
Crafted with a smooth satin upper, these ballerina shoes for girls feature a cushioned insole, lightweight flexible sole, and easy slip-on design. The embellished strap adds a refined, stylish finish.
These girls ballerinas provide superior comfort with a soft inner feel and flexible movement. Durable construction ensures long-lasting wear, making them dependable kids footwear for girls for daily use.
Perfect for parties, festive wear, outings, and casual events, these ballerinas for kids girls pair beautifully with dresses, making them a stylish footwear for girls across multiple occasions.
Wipe clean with a soft cloth for best results. This package includes one pair of kids girls ballerinas designed for comfort and style, making them an essential girls footwear addition.</t>
        </is>
      </c>
    </row>
    <row r="131">
      <c r="A131" s="42" t="n"/>
      <c r="B131" s="34" t="inlineStr">
        <is>
          <t>TGBAFS003114</t>
        </is>
      </c>
      <c r="C131" s="34" t="inlineStr">
        <is>
          <t>FOOTWEAR</t>
        </is>
      </c>
      <c r="D131" s="34" t="inlineStr">
        <is>
          <t>BALLERINAS</t>
        </is>
      </c>
      <c r="E131" s="34" t="inlineStr">
        <is>
          <t>GIRLS</t>
        </is>
      </c>
      <c r="F131" s="34" t="inlineStr">
        <is>
          <t>BLUE</t>
        </is>
      </c>
      <c r="G131" s="34" t="inlineStr">
        <is>
          <t>TGBAFS003114-blue</t>
        </is>
      </c>
      <c r="H131" s="49" t="inlineStr">
        <is>
          <t>Toothless Kids Girls Ballerinas | Bow Embellished Design | Girls Footwear | Cushioned Insole Comfort | Blue | Lightweight Flexible Sole | Party &amp; Occasion Wear</t>
        </is>
      </c>
      <c r="I131" s="48" t="inlineStr">
        <is>
          <t>Kids Girls Blue Bow Ballerinas</t>
        </is>
      </c>
      <c r="J131" s="49" t="inlineStr">
        <is>
          <t>Toothless Girls Blue Bow Detail Embellished Strap Comfortable Sole Occasion Wear Ballerinas</t>
        </is>
      </c>
      <c r="K131" s="49" t="inlineStr">
        <is>
          <t>Kids Girls Ballerinas in Blue with Bow Detail &amp; Embellished Strap, Comfortable Occasion Wear</t>
        </is>
      </c>
      <c r="L131" s="49" t="inlineStr">
        <is>
          <t>Toothless Kids Girls Ballerinas in Blue with Bow Detail and Embellished Strap Design</t>
        </is>
      </c>
      <c r="M131" s="51" t="inlineStr">
        <is>
          <t>*PREMIUM SATIN COMFORT FEEL: Crafted with smooth satin finish, these kids girls ballerinas offer a soft touch and elegant look, ensuring breathable comfort and making them ideal ballerina shoes for girls for extended wear.
*SECURE &amp; COMFORTABLE FIT DESIGN: Designed for girls, these ballerinas for girls provide a snug yet flexible fit, ensuring easy slip-on wear and comfort, making them perfect shoes for kids girls for daily or occasion wear.
*DURABLE &amp; LIGHTWEIGHT BUILD: Built with sturdy sole and quality construction, these girls ballerinas ensure long-lasting durability while remaining lightweight, making them reliable kids footwear for girls for regular use and movement.
*ELEGANT BOW &amp; EMBELLISHED DETAIL: Featuring a stylish bow with embellished strap and rich blue finish, these ballerinas for kids girls deliver a premium festive look, perfect footwear for girls for parties and special occasions.
*EASY CARE &amp; VERSATILE STYLING: Easy to clean and maintain, these ballerina shoes for girls come as a single pair, pairing effortlessly with dresses or outfits, making them versatile bellies for girls kids for multiple occasions.</t>
        </is>
      </c>
      <c r="N131" s="48" t="inlineStr">
        <is>
          <t>Step into elegance with Toothless kids girls ballerinas in a rich blue tone, designed with a refined bow detail. These ballerinas for girls bring premium styling and comfort to everyday footwear for girls.
Crafted with a smooth satin upper, these ballerina shoes for girls feature a cushioned insole, lightweight flexible sole, and easy slip-on design. The embellished strap adds a refined, stylish finish.
These girls ballerinas provide superior comfort with a soft inner feel and flexible movement. Durable construction ensures long-lasting wear, making them dependable kids footwear for girls for daily use.
Perfect for parties, festive wear, outings, and casual events, these ballerinas for kids girls pair beautifully with dresses, making them a stylish footwear for girls across multiple occasions.
Wipe clean with a soft cloth for best results. This package includes one pair of kids girls ballerinas designed for comfort and style, making them an essential girls footwear addition.</t>
        </is>
      </c>
    </row>
    <row r="132">
      <c r="A132" s="42" t="n"/>
      <c r="B132" s="34" t="inlineStr">
        <is>
          <t>PGLWLS002856</t>
        </is>
      </c>
      <c r="C132" s="34" t="inlineStr">
        <is>
          <t>APPAREL</t>
        </is>
      </c>
      <c r="D132" s="34" t="inlineStr">
        <is>
          <t>LOWER</t>
        </is>
      </c>
      <c r="E132" s="34" t="inlineStr">
        <is>
          <t>KIDS GIRLS</t>
        </is>
      </c>
      <c r="F132" s="34" t="inlineStr">
        <is>
          <t>LT. PINK</t>
        </is>
      </c>
      <c r="G132" s="34" t="inlineStr">
        <is>
          <t>PGLWLS002856-LT. PINK</t>
        </is>
      </c>
      <c r="H132" s="49" t="inlineStr">
        <is>
          <t>Purple United Kids Lower for Girls | Elasticated Waist Relaxed Fit Side Stripe | Light Pink | Soft Breathable Fabric | Comfortable Straight Fit | Kids Girls Everyday Active Wear</t>
        </is>
      </c>
      <c r="I132" s="48" t="inlineStr">
        <is>
          <t>Girls Pink Straight Fit Lower</t>
        </is>
      </c>
      <c r="J132" s="49" t="inlineStr">
        <is>
          <t>Purple United Kids Girls Light Pink Stripe Detail Soft Fabric Comfort Relaxed Fit Lower</t>
        </is>
      </c>
      <c r="K132" s="49" t="inlineStr">
        <is>
          <t>Kids Girls Lower in Light Pink with Soft Breathable Fabric and Relaxed Fit for Daily Wear</t>
        </is>
      </c>
      <c r="L132" s="49" t="inlineStr">
        <is>
          <t>Purple United Kids Girls Lower in Light Pink Relaxed Fit with Soft Fabric &amp; Elastic Waist</t>
        </is>
      </c>
      <c r="M132" s="51" t="inlineStr">
        <is>
          <t>* BREATHABLE SUMMER COMFORT: Crafted from lightweight, soft-touch material with an elasticated waistband, this kids girls lower offers a cool and airy feel, ideal for warm-weather wear and all-day ease.
* RELAXED EVERYDAY FIT: Designed with a straight silhouette and easy pull-on style, these lowers for girls provide flexibility and freedom of movement for active routines.
* LONG-LASTING QUALITY: Built with strong stitching and quality fabric, this lower for girls retains its structure, color, and smooth finish even after repeated washing.
* SPORTY SIDE STRIPE STYLE: Featuring a light tone with contrast side stripes, this kids girls lower delivers a clean, sporty look suitable for casual outings and daily styling.
* EASY MAINTENANCE: Machine wash friendly and easy to maintain; includes one lower for girls, designed for practical everyday use and versatile pairing.</t>
        </is>
      </c>
      <c r="N132" s="48" t="inlineStr">
        <is>
          <t>Upgrade everyday comfort with Purple United Kids lower for girls, designed in a soft light tone with sporty detailing. These kids girls lowers bring together premium style and comfort, perfect as summer wear for girls.
Crafted from breathable, lightweight fabric, these lowers for girls ensure comfort throughout the day. Featuring an elastic waistband, relaxed fit, and side stripe detailing, they offer flexibility and easy wear for daily activities.
These lower for girls provide superior comfort with a soft feel against the skin while ensuring durability. The relaxed silhouette supports free movement, making these kids girls lowers ideal for active days and relaxed moments.
Perfect for casual outings, playtime, travel, or lounging at home, these lowers for girls pair effortlessly with t-shirts or tops, making them versatile summer wear for girls across multiple occasions.
Machine wash with similar colors for best results. This package includes one lower for girls designed for comfort and style. A must-have kids girls lowers essential for effortless everyday wear.</t>
        </is>
      </c>
    </row>
    <row r="133">
      <c r="A133" s="42" t="n"/>
      <c r="B133" s="34" t="inlineStr">
        <is>
          <t>PGLWLS002856</t>
        </is>
      </c>
      <c r="C133" s="34" t="inlineStr">
        <is>
          <t>APPAREL</t>
        </is>
      </c>
      <c r="D133" s="34" t="inlineStr">
        <is>
          <t>LOWER</t>
        </is>
      </c>
      <c r="E133" s="34" t="inlineStr">
        <is>
          <t>KIDS GIRLS</t>
        </is>
      </c>
      <c r="F133" s="34" t="inlineStr">
        <is>
          <t>LT. YELLOW</t>
        </is>
      </c>
      <c r="G133" s="34" t="inlineStr">
        <is>
          <t>PGLWLS002856-LT. YELLOW</t>
        </is>
      </c>
      <c r="H133" s="49" t="inlineStr">
        <is>
          <t>Purple United Kids Lower for Girls | Elasticated Waist Relaxed Fit Side Stripe | Light Yellow | Soft Breathable Fabric | Comfortable Straight Fit | Kids Girls Everyday Active Wear</t>
        </is>
      </c>
      <c r="I133" s="48" t="inlineStr">
        <is>
          <t>Girls Yellow Comfort Lower</t>
        </is>
      </c>
      <c r="J133" s="49" t="inlineStr">
        <is>
          <t>Purple United Kids Girls Light Yellow Stripe Detail Soft Fabric Comfort Relaxed Fit Lower</t>
        </is>
      </c>
      <c r="K133" s="49" t="inlineStr">
        <is>
          <t xml:space="preserve">Kids Girls Lower in Light Yellow with Soft Breathable Fabric and Relaxed Fit for Daily Wear
</t>
        </is>
      </c>
      <c r="L133" s="49" t="inlineStr">
        <is>
          <t>Purple United Kids Girls Lower in Light Yellow Relaxed Fit with Soft Fabric &amp; Elastic Waist</t>
        </is>
      </c>
      <c r="M133" s="51" t="inlineStr">
        <is>
          <t>* BREATHABLE SUMMER COMFORT: Crafted from lightweight, soft-touch material with an elasticated waistband, this kids girls lower offers a cool and airy feel, ideal for warm-weather wear and all-day ease.
* RELAXED EVERYDAY FIT: Designed with a straight silhouette and easy pull-on style, these lowers for girls provide flexibility and freedom of movement for active routines.
* LONG-LASTING QUALITY: Built with strong stitching and quality fabric, this lower for girls retains its structure, color, and smooth finish even after repeated washing.
* SPORTY SIDE STRIPE STYLE: Featuring a light tone with contrast side stripes, this kids girls lower delivers a clean, sporty look suitable for casual outings and daily styling.
* EASY MAINTENANCE: Machine wash friendly and easy to maintain; includes one lower for girls, designed for practical everyday use and versatile pairing.</t>
        </is>
      </c>
      <c r="N133" s="48" t="inlineStr">
        <is>
          <t>Upgrade everyday comfort with Purple United Kids lower for girls, designed in a soft light yellow tone with sporty detailing. These kids girls lowers bring together premium style and comfort, perfect as summer wear for girls.
Crafted from breathable, lightweight fabric, these lowers for girls ensure comfort throughout the day. Featuring an elastic waistband, relaxed fit, and side stripe detailing, they offer flexibility and easy wear for daily activities.
These lower for girls provide superior comfort with a soft feel against the skin while ensuring durability. The relaxed silhouette supports free movement, making these kids girls lowers ideal for active days and relaxed moments.
Perfect for casual outings, playtime, travel, or lounging at home, these lowers for girls pair effortlessly with t-shirts or tops, making them versatile summer wear for girls across multiple occasions.
Machine wash with similar colors for best results. This package includes one lower for girls designed for comfort and style. A must-have kids girls lowers essential for effortless everyday wear.</t>
        </is>
      </c>
    </row>
    <row r="134">
      <c r="A134" s="42" t="n"/>
      <c r="B134" s="34" t="inlineStr">
        <is>
          <t>PBCSCS002946</t>
        </is>
      </c>
      <c r="C134" s="34" t="inlineStr">
        <is>
          <t>APPAREL</t>
        </is>
      </c>
      <c r="D134" s="34" t="inlineStr">
        <is>
          <t>CLOTHING SET</t>
        </is>
      </c>
      <c r="E134" s="34" t="inlineStr">
        <is>
          <t>KIDS BOYS</t>
        </is>
      </c>
      <c r="F134" s="34" t="inlineStr">
        <is>
          <t>WHITE / LT. GREEN</t>
        </is>
      </c>
      <c r="G134" s="34" t="inlineStr">
        <is>
          <t>PBCSCS002946-WHITE / LT. GREEN</t>
        </is>
      </c>
      <c r="H134" s="49" t="inlineStr">
        <is>
          <t xml:space="preserve">Purple United Kids Infant Boys Coord Set | Stripe Contrast Theme | Breathable Cotton Comfort | White &amp; Light Green | Elastic Waist Shorts | Summer Ready Clothing Set
</t>
        </is>
      </c>
      <c r="I134" s="48" t="inlineStr">
        <is>
          <t>Infant Boys Cotton Coord Set</t>
        </is>
      </c>
      <c r="J134" s="49" t="inlineStr">
        <is>
          <t xml:space="preserve">Infant Boys Cotton White Shirt Green Stripe Shorts Summer Soft Comfort Wear Coord Set
</t>
        </is>
      </c>
      <c r="K134" s="49" t="inlineStr">
        <is>
          <t xml:space="preserve">Infant Boys Coord Set in Cotton White Shirt with Green Stripe Shorts for Summer Comfort Wear
</t>
        </is>
      </c>
      <c r="L134" s="49" t="inlineStr">
        <is>
          <t xml:space="preserve">Purple United Kids Infant Coord Set in Cotton White Shirt with Green Stripe Shorts
</t>
        </is>
      </c>
      <c r="M134" s="51" t="inlineStr">
        <is>
          <t>*PREMIUM COMFORT &amp; FABRIC: Crafted from soft, breathable cotton, this kids boys coord set ensures all-day comfort. Lightweight and skin-friendly fabric makes it perfect for summer wear while maintaining a premium feel.
*DESIGNED FOR GROWING KIDS: Regular fit coord outfit designed for easy movement. Elasticated waistband shorts ensure a secure yet flexible fit, making it ideal as a boys clothing set for active kids.
*QUALITY YOU CAN TRUST: Made with durable stitching and high-quality cotton fabric, this kids clothing set combo is built to withstand everyday play while retaining shape, colour, and softness.
*STRIPE CONTRAST LOOK: Features a crisp white shirt with contrast green pocket and matching striped shorts. A stylish coord set for kids boys, perfect for a smart yet playful summer look.
*EASY MAINTENANCE: Machine washable fabric for hassle-free care. Package includes 1 shirt and 1 pair of shorts, making it a complete clothing set for boys ideal for daily wear or outings.</t>
        </is>
      </c>
      <c r="N134" s="48" t="inlineStr">
        <is>
          <t>Upgrade your child’s wardrobe with this premium Kids Boys Coord Set from Purple United, designed for modern comfort and effortless style. Featuring a fresh shirt paired with striped shorts, this coord outfit is perfect for boys who love stylish yet breathable summer clothing.
Crafted from high-quality cotton, the fabric is lightweight, soft on skin, and ideal for warm weather. The shirt features a clean button-down design with a contrast pocket, while the elasticated waistband shorts ensure easy wear and flexibility. This kids clothing set combo is thoughtfully designed to balance style and comfort.
Perfect for active kids, this boys summer clothing set cotton ensures ease of movement while maintaining durability for daily use. Whether it's playtime or outings, this coord set for kids boys delivers both comfort and a premium look.
Ideal for casual outings, vacations, family gatherings, and summer days, this boys clothing set keeps your child looking fresh and stylish.
Easy to care for with machine-washable fabric. This clothing set for boys includes 1 shirt and 1 pair of shorts, making it a complete and versatile wardrobe essential.</t>
        </is>
      </c>
    </row>
    <row r="135">
      <c r="A135" s="42" t="n"/>
      <c r="B135" s="34" t="inlineStr">
        <is>
          <t>PBCSCS002946</t>
        </is>
      </c>
      <c r="C135" s="34" t="inlineStr">
        <is>
          <t>APPAREL</t>
        </is>
      </c>
      <c r="D135" s="34" t="inlineStr">
        <is>
          <t>CLOTHING SET</t>
        </is>
      </c>
      <c r="E135" s="34" t="inlineStr">
        <is>
          <t>KIDS BOYS</t>
        </is>
      </c>
      <c r="F135" s="34" t="inlineStr">
        <is>
          <t>WHITE / LT. BLUE</t>
        </is>
      </c>
      <c r="G135" s="34" t="inlineStr">
        <is>
          <t>PBCSCS002946-WHITE / LT. BLUE</t>
        </is>
      </c>
      <c r="H135" s="49" t="inlineStr">
        <is>
          <t>Purple United Kids Infant Boys Coord Set | Stripe Contrast Theme | Breathable Cotton Comfort | White &amp; Light Blue | Elastic Waist Shorts | Summer Ready Clothing Set</t>
        </is>
      </c>
      <c r="I135" s="48" t="inlineStr">
        <is>
          <t>Infant Boys Cotton Coord Set</t>
        </is>
      </c>
      <c r="J135" s="49" t="inlineStr">
        <is>
          <t>Infant Boys Cotton White Shirt Blue Stripe Shorts Summer Soft Comfort Wear Coord Set</t>
        </is>
      </c>
      <c r="K135" s="49" t="inlineStr">
        <is>
          <t>Infant Boys Coord Set in Cotton White Shirt with Blue Stripe Shorts for Summer Comfort Wear</t>
        </is>
      </c>
      <c r="L135" s="49" t="inlineStr">
        <is>
          <t xml:space="preserve">Purple United Kids Infant Coord Set in Cotton White Shirt with Blue Stripe Shorts
</t>
        </is>
      </c>
      <c r="M135" s="51" t="inlineStr">
        <is>
          <t>*PREMIUM COMFORT &amp; FABRIC: Crafted from soft, breathable cotton, this kids boys coord set ensures all-day comfort. Lightweight and skin-friendly fabric makes it perfect for summer wear while maintaining a premium feel.
*DESIGNED FOR GROWING KIDS: Regular fit coord outfit designed for easy movement. Elasticated waistband shorts ensure a secure yet flexible fit, making it ideal as a boys clothing set for active kids.
*QUALITY YOU CAN TRUST: Made with durable stitching and high-quality cotton fabric, this kids clothing set combo is built to withstand everyday play while retaining shape, colour, and softness.
*STRIPE CONTRAST LOOK: Features a crisp white shirt with contrast colour pocket and matching striped shorts. A stylish coord set for kids boys, perfect for a smart yet playful summer look.
*EASY MAINTENANCE: Machine washable fabric for hassle-free care. Package includes 1 shirt and 1 pair of shorts, making it a complete clothing set for boys ideal for daily wear or outings.</t>
        </is>
      </c>
      <c r="N135" s="48" t="inlineStr">
        <is>
          <t>Upgrade your child’s wardrobe with this premium Kids Boys Coord Set from Purple United, designed for modern comfort and effortless style. Featuring a fresh shirt paired with striped shorts, this coord outfit is perfect for boys who love stylish yet breathable summer clothing.
Crafted from high-quality cotton, the fabric is lightweight, soft on skin, and ideal for warm weather. The shirt features a clean button-down design with a contrast pocket, while the elasticated waistband shorts ensure easy wear and flexibility. This kids clothing set combo is thoughtfully designed to balance style and comfort.
Perfect for active kids, this boys summer clothing set cotton ensures ease of movement while maintaining durability for daily use. Whether it's playtime or outings, this coord set for kids boys delivers both comfort and a premium look.
Ideal for casual outings, vacations, family gatherings, and summer days, this boys clothing set keeps your child looking fresh and stylish.
Easy to care for with machine-washable fabric. This clothing set for boys includes 1 shirt and 1 pair of shorts, making it a complete and versatile wardrobe essential.</t>
        </is>
      </c>
    </row>
    <row r="136">
      <c r="A136" s="42" t="n"/>
      <c r="B136" s="34" t="inlineStr">
        <is>
          <t>PUDUHS002980</t>
        </is>
      </c>
      <c r="C136" s="34" t="inlineStr">
        <is>
          <t>APPAREL</t>
        </is>
      </c>
      <c r="D136" s="34" t="inlineStr">
        <is>
          <t>DUNGAREE</t>
        </is>
      </c>
      <c r="E136" s="34" t="inlineStr">
        <is>
          <t>KIDS-UNISEX</t>
        </is>
      </c>
      <c r="F136" s="34" t="inlineStr">
        <is>
          <t>GREEN / WHITE</t>
        </is>
      </c>
      <c r="G136" s="34" t="inlineStr">
        <is>
          <t>PUDUHS002980-GREEN / WHITE</t>
        </is>
      </c>
      <c r="H136" s="49" t="inlineStr">
        <is>
          <t xml:space="preserve">Purple United Kids Infant Dungaree | Minimal Contrast Theme | Soft Cotton Comfort | Dungaree Set for Kids | Green &amp; White | Adjustable Strap Detail | Everyday Premium Outfit
</t>
        </is>
      </c>
      <c r="I136" s="48" t="inlineStr">
        <is>
          <t>Infant Casual Dungaree Dress</t>
        </is>
      </c>
      <c r="J136" s="49" t="inlineStr">
        <is>
          <t xml:space="preserve">Purple United Kids Infant Green White Adjustable Straps Cotton Casual Wear Dungaree
</t>
        </is>
      </c>
      <c r="K136" s="49" t="inlineStr">
        <is>
          <t>Kids Infant Dungaree in Green &amp; White with Adjustable Straps and Contrast Cotton Tshirt</t>
        </is>
      </c>
      <c r="L136" s="49" t="inlineStr">
        <is>
          <t xml:space="preserve">Purple United Kids Infant Dungaree in Green &amp; White Cotton Set with Adjustable Straps
</t>
        </is>
      </c>
      <c r="M136" s="51" t="inlineStr">
        <is>
          <t>*SOFT COTTON COMFORT: Crafted with breathable, skin-friendly cotton, these infant dungarees ensure maximum comfort for delicate skin. Lightweight fabric keeps your child cool, making it ideal for all-day wear.
*ADJUSTABLE &amp; EASY FIT: Designed with adjustable button straps and elasticated back for a flexible fit. This dungarees for kids offers ease of movement, making it perfect for infants and toddlers.
*PREMIUM BUILD QUALITY: High-quality stitching and durable fabric ensure long-lasting wear. This dungaree for kids maintains its shape, softness, and colour even after multiple washes.
*MINIMAL MODERN AESTHETIC: Features a soothing T-shirt with contrast detailing paired with a clean dungaree. A refined and stylish dungarees set for kids suitable for both boys and girls.
*EASY TO MAINTAIN: Machine washable for hassle-free care. Package includes 1 T-shirt and 1 dungaree, making it a complete infant outfit ideal for daily wear and outings.</t>
        </is>
      </c>
      <c r="N136" s="48" t="inlineStr">
        <is>
          <t>Introduce effortless style and comfort to your child’s wardrobe with this premium Infant Dungarees Set from Purple United. Designed with a modern minimal aesthetic, this outfit features a soft cotton T-shirt paired with a classic dungaree, making it a versatile unisex choice for infants and toddlers.
Made from high-quality breathable cotton, the fabric ensures gentle comfort on delicate skin while keeping your child cool throughout the day. The dungaree features adjustable straps and a flexible fit, while the T-shirt offers a soft and lightweight feel. This dungarees for kids is thoughtfully designed for both comfort and style.
Built for active little ones, this dungaree for kids offers durability and ease of movement, making it perfect for everyday wear. The premium construction ensures long-lasting quality even with regular use.
Ideal for casual outings, playdates, family gatherings, or daywear, this infant dungarees set delivers a polished yet playful look.
Easy to care for with machine-washable fabric. This set includes 1 T-shirt and 1 dungaree, making it a complete and stylish wardrobe essential.</t>
        </is>
      </c>
    </row>
    <row r="137">
      <c r="A137" s="42" t="n"/>
      <c r="B137" s="34" t="inlineStr">
        <is>
          <t>PUDUHS002980</t>
        </is>
      </c>
      <c r="C137" s="34" t="inlineStr">
        <is>
          <t>APPAREL</t>
        </is>
      </c>
      <c r="D137" s="34" t="inlineStr">
        <is>
          <t>DUNGAREE</t>
        </is>
      </c>
      <c r="E137" s="34" t="inlineStr">
        <is>
          <t>KIDS-UNISEX</t>
        </is>
      </c>
      <c r="F137" s="34" t="inlineStr">
        <is>
          <t>RED / DK. BLUE</t>
        </is>
      </c>
      <c r="G137" s="34" t="inlineStr">
        <is>
          <t>PUDUHS002980-RED / DK. BLUE</t>
        </is>
      </c>
      <c r="H137" s="49" t="inlineStr">
        <is>
          <t>Purple United Kids Infant Dungaree | Minimal Contrast Theme | Soft Cotton Comfort | Dungaree Set for Kids | Red &amp; Dark Blue | Adjustable Strap Detail | Everyday Premium Outfit</t>
        </is>
      </c>
      <c r="I137" s="48" t="inlineStr">
        <is>
          <t>Infant Casual Dungaree Dress</t>
        </is>
      </c>
      <c r="J137" s="49" t="inlineStr">
        <is>
          <t>Purple United Kids Infant Red Dark Blue Adjustable Straps Cotton Casual Wear Dungaree</t>
        </is>
      </c>
      <c r="K137" s="49" t="inlineStr">
        <is>
          <t>Kids Infant Dungaree in Red &amp; Dark Blue with Adjustable Straps and Contrast Cotton Tshirt</t>
        </is>
      </c>
      <c r="L137" s="49" t="inlineStr">
        <is>
          <t>Purple United Kids Infant Dungaree in Red &amp; Dark Blue Cotton Set with Adjustable Straps</t>
        </is>
      </c>
      <c r="M137" s="51" t="inlineStr">
        <is>
          <t>*SOFT COTTON COMFORT: Crafted with breathable, skin-friendly cotton, these infant dungarees ensure maximum comfort for delicate skin. Lightweight fabric keeps your child cool, making it ideal for all-day wear.
*ADJUSTABLE &amp; EASY FIT: Designed with adjustable button straps and elasticated back for a flexible fit. This dungarees for kids offers ease of movement, making it perfect for infants and toddlers.
*PREMIUM BUILD QUALITY: High-quality stitching and durable fabric ensure long-lasting wear. This dungaree for kids maintains its shape, softness, and colour even after multiple washes.
*MINIMAL MODERN AESTHETIC: Features a soothing T-shirt with contrast detailing paired with a clean dungaree. A refined and stylish dungarees set for kids suitable for both boys and girls.
*EASY TO MAINTAIN: Machine washable for hassle-free care. Package includes 1 T-shirt and 1 dungaree, making it a complete infant outfit ideal for daily wear and outings.</t>
        </is>
      </c>
      <c r="N137" s="48" t="inlineStr">
        <is>
          <t>Introduce effortless style and comfort to your child’s wardrobe with this premium Infant Dungarees Set from Purple United. Designed with a modern minimal aesthetic, this outfit features a soft cotton T-shirt paired with a classic dungaree, making it a versatile unisex choice for infants and toddlers.
Made from high-quality breathable cotton, the fabric ensures gentle comfort on delicate skin while keeping your child cool throughout the day. The dungaree features adjustable straps and a flexible fit, while the T-shirt offers a soft and lightweight feel. This dungarees for kids is thoughtfully designed for both comfort and style.
Built for active little ones, this dungaree for kids offers durability and ease of movement, making it perfect for everyday wear. The premium construction ensures long-lasting quality even with regular use.
Ideal for casual outings, playdates, family gatherings, or daywear, this infant dungarees set delivers a polished yet playful look.
Easy to care for with machine-washable fabric. This set includes 1 T-shirt and 1 dungaree, making it a complete and stylish wardrobe essential.</t>
        </is>
      </c>
    </row>
    <row r="138">
      <c r="A138" s="42" t="n"/>
      <c r="B138" s="34" t="inlineStr">
        <is>
          <t>PBCSHS002948</t>
        </is>
      </c>
      <c r="C138" s="34" t="inlineStr">
        <is>
          <t>APPAREL</t>
        </is>
      </c>
      <c r="D138" s="34" t="inlineStr">
        <is>
          <t>T-SHIRT SHORTS SET</t>
        </is>
      </c>
      <c r="E138" s="34" t="inlineStr">
        <is>
          <t>KIDS BOYS</t>
        </is>
      </c>
      <c r="F138" s="34" t="inlineStr">
        <is>
          <t>LT. TEAL</t>
        </is>
      </c>
      <c r="G138" s="34" t="inlineStr">
        <is>
          <t xml:space="preserve">PBCSHS002948-LT. TEAL
</t>
        </is>
      </c>
      <c r="H138" s="49" t="inlineStr">
        <is>
          <t>Purple United Kids Tshirt Shorts Set | Smart Collar Style | Breathable Cotton Fabric | Coord Outfit | Light Teal | Elastic Waist Shorts | Summer Wear | Premium Kids Comfort Wear</t>
        </is>
      </c>
      <c r="I138" s="48" t="inlineStr">
        <is>
          <t>Boys Teal Tshirt Shorts Set</t>
        </is>
      </c>
      <c r="J138" s="49" t="inlineStr">
        <is>
          <t>Purple United Kids Boys Light Teal Soft Cotton All Day Comfort Wear Tshirt Shorts Set</t>
        </is>
      </c>
      <c r="K138" s="49" t="inlineStr">
        <is>
          <t>Kids Boys Tshirt Shorts Set in Light Teal with Soft Cotton Fabric, Comfort Summer Wear</t>
        </is>
      </c>
      <c r="L138" s="49" t="inlineStr">
        <is>
          <t>Purple United Kids Boys Tshirt Shorts Set in Light Teal with Soft Cotton Comfort</t>
        </is>
      </c>
      <c r="M138" s="51" t="inlineStr">
        <is>
          <t>*SOFT COTTON SUMMER COMFORT: Crafted in breathable cotton-rich fabric, this Kids Boys Tshirt Shorts Set ensures superior softness and all-day comfort, making it an ideal summer outfit for active kids and everyday wear.
*RELAXED &amp; FLEXIBLE FIT: Designed with a relaxed silhouette, this coord outfit features an easy slip-on t-shirt and elasticated waistband shorts, ensuring flexibility, comfort, and a perfect fit for growing kids.
*PREMIUM FABRIC &amp; STITCHING: Made with high-quality cotton fabric and reinforced stitching, this boys clothing set offers durability, maintains shape and colour, and withstands repeated washes while retaining softness.
*SMART MINIMAL COORD STYLE: Featuring a light tone with contrast collar detailing, this Kids Boys Tshirt Shorts Set delivers a clean, modern aesthetic perfect for stylish summer dressing and casual outings.
*EASY CARE ESSENTIAL SET: Machine washable for easy maintenance, this set includes one t-shirt and one shorts, making it a complete Kids Boys Tshirt Shorts Set for everyday wear, travel, and playtime.</t>
        </is>
      </c>
      <c r="N138" s="48" t="inlineStr">
        <is>
          <t>Upgrade your child’s summer wardrobe with this premium Kids Boys Tshirt Shorts Set from Purple United Kids, designed in a soothing light teal tone for a fresh and modern look. Crafted for young trendsetters, this coord outfit blends comfort with elevated everyday style.
Made from soft, breathable cotton-rich knit fabric, this set includes a smart t-shirt with subtle collar detailing and elasticated shorts for ease of movement. Lightweight, skin-friendly, and thoughtfully constructed, it ensures maximum comfort during warm days.
This boys clothing set offers the perfect balance of style and functionality. The relaxed fit allows active movement, while the premium fabric ensures durability and long-lasting wear. Ideal for keeping kids cool, comfortable, and effortlessly stylish.
Perfect for casual outings, playdates, holidays, travel, or everyday summer wear, this coord outfit adds a polished touch to your child’s wardrobe.
Pair it with sneakers for a complete look. Easy to maintain with machine wash care. Package includes 1 t-shirt and 1 shorts, making it a must-have boys summer clothing set.</t>
        </is>
      </c>
    </row>
    <row r="139">
      <c r="A139" s="42" t="n"/>
      <c r="B139" s="34" t="inlineStr">
        <is>
          <t>PBCSHS002948</t>
        </is>
      </c>
      <c r="C139" s="34" t="inlineStr">
        <is>
          <t>APPAREL</t>
        </is>
      </c>
      <c r="D139" s="34" t="inlineStr">
        <is>
          <t>T-SHIRT SHORTS SET</t>
        </is>
      </c>
      <c r="E139" s="34" t="inlineStr">
        <is>
          <t>KIDS BOYS</t>
        </is>
      </c>
      <c r="F139" s="34" t="inlineStr">
        <is>
          <t>BEIGE</t>
        </is>
      </c>
      <c r="G139" s="34" t="inlineStr">
        <is>
          <t>PBCSHS002948-BEIGE</t>
        </is>
      </c>
      <c r="H139" s="49" t="inlineStr">
        <is>
          <t>Purple United Kids Tshirt Shorts Set | Smart Collar Style | Breathable Cotton Fabric | Coord Outfit | Beige | Elastic Waist Shorts | Summer Wear | Premium Kids Comfort Wear</t>
        </is>
      </c>
      <c r="I139" s="48" t="inlineStr">
        <is>
          <t>Boys Beige Tshirt Shorts Set</t>
        </is>
      </c>
      <c r="J139" s="49" t="inlineStr">
        <is>
          <t>Purple United Kids Boys Beige Soft Cotton All Day Comfort Wear Tshirt Shorts Set</t>
        </is>
      </c>
      <c r="K139" s="49" t="inlineStr">
        <is>
          <t>Kids Boys Tshirt Shorts Set in Beige with Soft Cotton Fabric, Comfort Summer Wear</t>
        </is>
      </c>
      <c r="L139" s="49" t="inlineStr">
        <is>
          <t>Purple United Kids Boys Tshirt Shorts Set in Beige with Soft Cotton Comfort</t>
        </is>
      </c>
      <c r="M139" s="51" t="inlineStr">
        <is>
          <t>*SOFT COTTON SUMMER COMFORT: Crafted in breathable cotton-rich fabric, this Kids Boys Tshirt Shorts Set ensures superior softness and all-day comfort, making it an ideal summer outfit for active kids and everyday wear.
*RELAXED &amp; FLEXIBLE FIT: Designed with a relaxed silhouette, this coord outfit features an easy slip-on t-shirt and elasticated waistband shorts, ensuring flexibility, comfort, and a perfect fit for growing kids.
*PREMIUM FABRIC &amp; STITCHING: Made with high-quality cotton fabric and reinforced stitching, this boys clothing set offers durability, maintains shape and colour, and withstands repeated washes while retaining softness.
*SMART MINIMAL COORD STYLE: Featuring a light tone with contrast collar detailing, this Kids Boys Tshirt Shorts Set delivers a clean, modern aesthetic perfect for stylish summer dressing and casual outings.
*EASY CARE ESSENTIAL SET: Machine washable for easy maintenance, this set includes one t-shirt and one shorts, making it a complete Kids Boys Tshirt Shorts Set for everyday wear, travel, and playtime.</t>
        </is>
      </c>
      <c r="N139" s="48" t="inlineStr">
        <is>
          <t>Upgrade your child’s summer wardrobe with this premium Kids Boys Tshirt Shorts Set from Purple United Kids, designed in a soothing beige tone for a fresh and modern look. Crafted for young trendsetters, this coord outfit blends comfort with elevated everyday style.
Made from soft, breathable cotton-rich knit fabric, this set includes a smart t-shirt with subtle collar detailing and elasticated shorts for ease of movement. Lightweight, skin-friendly, and thoughtfully constructed, it ensures maximum comfort during warm days.
This boys clothing set offers the perfect balance of style and functionality. The relaxed fit allows active movement, while the premium fabric ensures durability and long-lasting wear. Ideal for keeping kids cool, comfortable, and effortlessly stylish.
Perfect for casual outings, playdates, holidays, travel, or everyday summer wear, this coord outfit adds a polished touch to your child’s wardrobe.
Pair it with sneakers for a complete look. Easy to maintain with machine wash care. Package includes 1 t-shirt and 1 shorts, making it a must-have boys summer clothing set.</t>
        </is>
      </c>
    </row>
    <row r="140">
      <c r="A140" s="42" t="n"/>
      <c r="B140" s="34" t="inlineStr">
        <is>
          <t>PBCSHS002947</t>
        </is>
      </c>
      <c r="C140" s="34" t="inlineStr">
        <is>
          <t>APPAREL</t>
        </is>
      </c>
      <c r="D140" s="34" t="inlineStr">
        <is>
          <t>CLOTHING SET</t>
        </is>
      </c>
      <c r="E140" s="34" t="inlineStr">
        <is>
          <t>KIDS BOYS</t>
        </is>
      </c>
      <c r="F140" s="34" t="inlineStr">
        <is>
          <t>YELLOW</t>
        </is>
      </c>
      <c r="G140" s="34" t="inlineStr">
        <is>
          <t>PBCSHS002947-YELLOW</t>
        </is>
      </c>
      <c r="H140" s="49" t="inlineStr">
        <is>
          <t>Purple United Kids Boys Coord Set | Graphic Stripe Theme | Breathable Cotton | Yellow | Summer Wear Clothing Set | Elastic Waist Shorts | Soft Fabric | Easy Care | Daily Wear Outfit</t>
        </is>
      </c>
      <c r="I140" s="48" t="inlineStr">
        <is>
          <t>Kids Boys Casual Coord Set</t>
        </is>
      </c>
      <c r="J140" s="49" t="inlineStr">
        <is>
          <t>Purple United Kids Boys Yellow Soft Cotton Tshirt Striped Shorts Comfort Wear Coord Set</t>
        </is>
      </c>
      <c r="K140" s="49" t="inlineStr">
        <is>
          <t>Kids Boys Coord Set in Yellow with Soft Cotton Tshirt &amp; Comfort Striped Shorts for Casual Wear</t>
        </is>
      </c>
      <c r="L140" s="49" t="inlineStr">
        <is>
          <t>Purple United Kids Boys Coord Set in Yellow with Cotton Tshirt &amp; Striped Shorts</t>
        </is>
      </c>
      <c r="M140" s="51" t="inlineStr">
        <is>
          <t>*PREMIUM SUMMER COORD COMFORT: Crafted in soft breathable cotton, this Kids Boys Coord Set offers superior comfort and lightweight feel, making it an ideal boys summer clothing set for everyday wear and active play.
*RELAXED EVERYDAY FIT: Designed with a relaxed silhouette, this coord outfit features an easy wear t-shirt and elasticated drawstring shorts, ensuring flexibility, comfort, and a secure fit for growing kids.
*QUALITY FABRIC &amp; STITCH: Made using premium cotton fabric with strong stitching, this boys clothing set retains shape, resists fading, and ensures long-lasting performance through repeated washes and daily use.
*GRAPHIC &amp; STRIPE DETAILING: Features a clean white tee with bold numeric graphic print paired with contrast striped pocket shorts, delivering a modern, playful, and stylish coord set for kids boys.
*EASY CARE COMPLETE SET: Machine washable for hassle-free care; includes 1 t-shirt and 1 shorts, making it a complete kids clothing set combo perfect for daily wear, outings, and summer styling.</t>
        </is>
      </c>
      <c r="N140" s="48" t="inlineStr">
        <is>
          <t>Refresh your child’s wardrobe with this premium Kids Boys Coord Set from Purple United, designed in a vibrant yellow and white palette for a fresh summer-ready look. This stylish co ord set blends comfort with playful design, perfect for modern kids.
Crafted from soft, breathable cotton fabric, this coord outfit includes a graphic printed t-shirt with shoulder button detail and elasticated shorts with striped pocket accents. Lightweight and skin-friendly, it ensures maximum comfort in warm weather.
This boys clothing set is designed for all-day ease, offering flexibility, durability, and a polished look. The high-quality fabric ensures long-lasting wear while keeping kids cool, comfortable, and stylish.
Perfect for playdates, casual outings, holidays, or everyday wear, this coord set for kids boys adds a smart and cheerful touch to any occasion.
Pair with sneakers for a complete look. Easy to maintain with machine wash care. Includes 1 t-shirt and 1 shorts, making it an essential boys summer clothing set cotton coord outfit.</t>
        </is>
      </c>
    </row>
    <row r="141">
      <c r="A141" s="42" t="n"/>
      <c r="B141" s="34" t="inlineStr">
        <is>
          <t>PBDNEW002288</t>
        </is>
      </c>
      <c r="C141" s="34" t="inlineStr">
        <is>
          <t>APPAREL</t>
        </is>
      </c>
      <c r="D141" s="34" t="inlineStr">
        <is>
          <t>DENIM CO-ORD SET</t>
        </is>
      </c>
      <c r="E141" s="34" t="inlineStr">
        <is>
          <t>KIDS BOYS</t>
        </is>
      </c>
      <c r="F141" s="34" t="inlineStr">
        <is>
          <t>DK. BLUE</t>
        </is>
      </c>
      <c r="G141" s="34" t="inlineStr">
        <is>
          <t>PBDNEW002288-DK. BLUE</t>
        </is>
      </c>
      <c r="H141" s="49" t="inlineStr">
        <is>
          <t>Purple United Kids Boys Co-ord Set | Utility Pocket Design | Premium Cotton Blend | Comfortable Denim Fabric | Dark Blue | Elastic Waist Joggers | Kids Boys Clothing Set | Premium Fashion Wear</t>
        </is>
      </c>
      <c r="I141" s="48" t="inlineStr">
        <is>
          <t xml:space="preserve">Kids Boys Denim Coord Set </t>
        </is>
      </c>
      <c r="J141" s="49" t="inlineStr">
        <is>
          <t>Purple United Kids Boys Dark Blue Utility Pocket Detail Comfortable Fit Denim Coord Set</t>
        </is>
      </c>
      <c r="K141" s="48" t="inlineStr">
        <is>
          <t>Kids Boys Denim Coord Set in Dark Blue with Utility Pocket Detail &amp; Comfortable Fit</t>
        </is>
      </c>
      <c r="L141" s="49" t="inlineStr">
        <is>
          <t xml:space="preserve">Purple United Kids Boys Denim Coord Set in Dark Blue with Comfort Cotton Fabric </t>
        </is>
      </c>
      <c r="M141" s="51" t="inlineStr">
        <is>
          <t>*PREMIUM DENIM COMFORT: Crafted in soft cotton-rich denim, this kids boys coord set offers breathable comfort with a premium hand feel, designed for all-day wear with a stylish co ord set look.
*EASY RELAXED FIT: Designed for growing kids, this boys clothing set features a relaxed fit with elastic waistband and cuffed hems, ensuring easy movement and comfortable wear.
*STRONG &amp; LONG-LASTING FABRIC: Made with durable denim construction, reinforced stitching, and high-quality fabric, this kids clothing set combo is built to handle everyday play and multiple washes.
*UTILITY INSPIRED STYLE: Denim finish with utility pocket detail and minimal branding gives a modern coord outfit vibe, perfect for stylish everyday dressing.
*EASY MAINTENANCE: Machine washable fabric; color stays intact. Package includes 1 denim top and 1 jogger, making it a complete coord set for kids boys.</t>
        </is>
      </c>
      <c r="N141" s="48" t="inlineStr">
        <is>
          <t>Upgrade your child’s wardrobe with this premium Purple United kids boys coord set, designed in a stylish denim utility theme. Crafted for modern kids, this co ord set blends comfort and fashion effortlessly, making it a standout choice for everyday wear.
Made from a high-quality cotton-rich denim blend, this coord outfit features a soft yet durable fabric. The top comes with a structured collar and utility pocket detailing, while the joggers include an elastic waistband and cuffed hems for a secure and flexible fit. Lightweight yet sturdy, it ensures all-day comfort.
This boys clothing set is designed to deliver both style and performance. Breathable fabric keeps kids cool, while strong stitching enhances durability. The coordinated look adds a trendy edge, making it better than regular outfits.
Perfect for casual outings, playdates, travel, or family gatherings, this kids clothing set combo offers versatility and effortless styling for every occasion.
Easy to maintain with machine wash care, this coord set for kids boys includes one denim top and one jogger. Choose the right size for the best fit and elevate your child’s wardrobe with this premium outfit.</t>
        </is>
      </c>
    </row>
    <row r="142">
      <c r="A142" s="42" t="n"/>
      <c r="B142" s="34" t="inlineStr">
        <is>
          <t>PBDNEW002288</t>
        </is>
      </c>
      <c r="C142" s="34" t="inlineStr">
        <is>
          <t>APPAREL</t>
        </is>
      </c>
      <c r="D142" s="34" t="inlineStr">
        <is>
          <t>DENIM CO-ORD SET</t>
        </is>
      </c>
      <c r="E142" s="34" t="inlineStr">
        <is>
          <t>KIDS BOYS</t>
        </is>
      </c>
      <c r="F142" s="34" t="inlineStr">
        <is>
          <t>MID BLUE</t>
        </is>
      </c>
      <c r="G142" s="34" t="inlineStr">
        <is>
          <t>PBDNEW002288-MID BLUE</t>
        </is>
      </c>
      <c r="H142" s="49" t="inlineStr">
        <is>
          <t>Purple United Kids Boys Co-ord Set | Utility Pocket Design | Premium Cotton Blend | Comfortable Denim Fabric | Mid Blue | Elastic Waist Joggers | Kids Boys Clothing Set | Premium Fashion Wear</t>
        </is>
      </c>
      <c r="I142" s="48" t="inlineStr">
        <is>
          <t xml:space="preserve">Kids Boys Denim Coord Set </t>
        </is>
      </c>
      <c r="J142" s="49" t="inlineStr">
        <is>
          <t>Purple United Kids Boys Mid Blue Utility Pocket Detail Comfortable Fit Denim Coord Set</t>
        </is>
      </c>
      <c r="K142" s="48" t="inlineStr">
        <is>
          <t>Kids Boys Denim Coord Set in Mid Blue with Utility Pocket Detail &amp; Comfortable Fit</t>
        </is>
      </c>
      <c r="L142" s="49" t="inlineStr">
        <is>
          <t xml:space="preserve">Purple United Kids Boys Denim Coord Set in Mid Blue with Comfort Cotton Fabric </t>
        </is>
      </c>
      <c r="M142" s="51" t="inlineStr">
        <is>
          <t>*PREMIUM DENIM COMFORT: Crafted in soft cotton-rich denim, this kids boys coord set offers breathable comfort with a premium hand feel, designed for all-day wear with a stylish co ord set look.
*EASY RELAXED FIT: Designed for growing kids, this boys clothing set features a relaxed fit with elastic waistband and cuffed hems, ensuring easy movement and comfortable wear.
*STRONG &amp; LONG-LASTING FABRIC: Made with durable denim construction, reinforced stitching, and high-quality fabric, this kids clothing set combo is built to handle everyday play and multiple washes.
*UTILITY INSPIRED STYLE: Denim finish with utility pocket detail and minimal branding gives a modern coord outfit vibe, perfect for stylish everyday dressing.
*EASY MAINTENANCE: Machine washable fabric; color stays intact. Package includes 1 denim top and 1 jogger, making it a complete coord set for kids boys.</t>
        </is>
      </c>
      <c r="N142" s="48" t="inlineStr">
        <is>
          <t>Upgrade your child’s wardrobe with this premium Purple United kids boys coord set, designed in a stylish denim utility theme. Crafted for modern kids, this co ord set blends comfort and fashion effortlessly, making it a standout choice for everyday wear.
Made from a high-quality cotton-rich denim blend, this coord outfit features a soft yet durable fabric. The top comes with a structured collar and utility pocket detailing, while the joggers include an elastic waistband and cuffed hems for a secure and flexible fit. Lightweight yet sturdy, it ensures all-day comfort.
This boys clothing set is designed to deliver both style and performance. Breathable fabric keeps kids cool, while strong stitching enhances durability. The coordinated look adds a trendy edge, making it better than regular outfits.
Perfect for casual outings, playdates, travel, or family gatherings, this kids clothing set combo offers versatility and effortless styling for every occasion.
Easy to maintain with machine wash care, this coord set for kids boys includes one denim top and one jogger. Choose the right size for the best fit and elevate your child’s wardrobe with this premium outfit.</t>
        </is>
      </c>
    </row>
    <row r="143">
      <c r="A143" s="42" t="n"/>
      <c r="B143" s="34" t="inlineStr">
        <is>
          <t>PUDUHS002977</t>
        </is>
      </c>
      <c r="C143" s="34" t="inlineStr">
        <is>
          <t>APPAREL</t>
        </is>
      </c>
      <c r="D143" s="34" t="inlineStr">
        <is>
          <t>DENIM CO-ORD SET</t>
        </is>
      </c>
      <c r="E143" s="34" t="inlineStr">
        <is>
          <t>KIDS GIRLS</t>
        </is>
      </c>
      <c r="F143" s="34" t="inlineStr">
        <is>
          <t>MID BLUE</t>
        </is>
      </c>
      <c r="G143" s="34" t="inlineStr">
        <is>
          <t>PGDNEW002291-MID BLUE</t>
        </is>
      </c>
      <c r="H143" s="49" t="inlineStr">
        <is>
          <t>Purple United Kids Girls Denim Co-ord Set | Ruffle Lace Style | Soft Cotton Fabric | Coord Outfit | Mid Blue | Elastic Waist Pants | Denim Girls Clothing Set | Premium Kids Wear</t>
        </is>
      </c>
      <c r="I143" s="48" t="inlineStr">
        <is>
          <t>Girls Casual Denim Coord Set</t>
        </is>
      </c>
      <c r="J143" s="48" t="inlineStr">
        <is>
          <t xml:space="preserve">Purple United Kids Girls Denim Mid Blue Ruffle Lace Detail Cotton Comfort Fit Coord Set
</t>
        </is>
      </c>
      <c r="K143" s="49" t="inlineStr">
        <is>
          <t>Kids Girls Denim Coord Set in Mid Blue with Ruffle Lace Detail Cotton Fit</t>
        </is>
      </c>
      <c r="L143" s="49" t="inlineStr">
        <is>
          <t>Purple United Kids Girls Denim Coord Set in Mid Blue with Ruffle Lace Cotton Fit</t>
        </is>
      </c>
      <c r="M143" s="51" t="inlineStr">
        <is>
          <t>*PREMIUM DENIM WITH RUFFLE DETAIL: Designed with soft cotton denim, this kids girls coord set features elegant ruffle and lace detailing, offering a stylish co ord set look with premium comfort for everyday wear.
*COMFORTABLE RELAXED FIT: This coord set for kids girls comes with a relaxed silhouette, elastic waistband, and easy fit design, ensuring comfort and flexibility for active kids.
*HIGH-QUALITY DENIM BUILD: Crafted with strong stitching and durable cotton denim fabric, this girls clothing set is made to last through regular wear and washing cycles.
*FEMININE DENIM STYLE: Mid blue denim with ruffle panel and lace accents creates a chic coord outfit look, perfect for modern kids wear girls styling.
*EASY CARE SET: Machine washable and easy to maintain. Includes 1 denim top and 1 denim pant, making it a complete kids clothing set combo.</t>
        </is>
      </c>
      <c r="N143" s="48" t="inlineStr">
        <is>
          <t>Introduce a perfect blend of style and comfort with this Purple United kids girls coord set, designed in a premium denim theme with delicate ruffle and lace detailing. This co ord set reflects modern kids wear girls fashion with a soft and elegant touch.
Crafted from high-quality cotton denim, this coord outfit offers breathable comfort and durability. The top features a stylish ruffle yoke with lace accents and button closure, while the pants come with an elastic waistband for a secure and flexible fit. The fabric is soft yet sturdy, ideal for everyday wear.
This girls clothing set is designed for both comfort and style. Lightweight construction ensures ease of movement, while durable stitching enhances longevity. The coordinated look adds a fashionable edge, making it stand out from regular outfits.
Perfect for casual outings, family gatherings, playdates, or special occasions, this kids clothing set combo offers versatile styling options.
Easy to maintain with machine wash care, this coord set for girls includes one denim top and one pant. Choose the right size for the best fit and upgrade your child’s wardrobe with this premium outfit.</t>
        </is>
      </c>
    </row>
    <row r="144">
      <c r="A144" s="42" t="n"/>
      <c r="B144" s="34" t="inlineStr">
        <is>
          <t>PUDUHS002977</t>
        </is>
      </c>
      <c r="C144" s="34" t="inlineStr">
        <is>
          <t>APPAREL</t>
        </is>
      </c>
      <c r="D144" s="34" t="inlineStr">
        <is>
          <t>DENIM CO-ORD SET</t>
        </is>
      </c>
      <c r="E144" s="34" t="inlineStr">
        <is>
          <t>KIDS GIRLS</t>
        </is>
      </c>
      <c r="F144" s="34" t="inlineStr">
        <is>
          <t>DK. BLUE</t>
        </is>
      </c>
      <c r="G144" s="34" t="inlineStr">
        <is>
          <t>PGDNEW002291-DK. BLUE</t>
        </is>
      </c>
      <c r="H144" s="49" t="inlineStr">
        <is>
          <t>Purple United Kids Girls Denim Co-ord Set | Ruffle Lace Style | Soft Cotton Fabric | Coord Outfit | Dark Blue | Elastic Waist Pants | Denim Girls Clothing Set | Premium Kids Wear</t>
        </is>
      </c>
      <c r="I144" s="48" t="inlineStr">
        <is>
          <t>Girls Casual Denim Coord Set</t>
        </is>
      </c>
      <c r="J144" s="48" t="inlineStr">
        <is>
          <t>Purple United Kids Girls Denim Dark Blue Ruffle Lace Detail Cotton Comfort Fit Coord Set</t>
        </is>
      </c>
      <c r="K144" s="49" t="inlineStr">
        <is>
          <t>Kids Girls Denim Coord Set in Dark Blue with Ruffle Lace Detail Cotton Fit</t>
        </is>
      </c>
      <c r="L144" s="49" t="inlineStr">
        <is>
          <t>Purple United Kids Girls Denim Coord Set in Dark Blue with Ruffle Lace Cotton Fit</t>
        </is>
      </c>
      <c r="M144" s="51" t="inlineStr">
        <is>
          <t>*PREMIUM DENIM WITH RUFFLE DETAIL: Designed with soft cotton denim, this kids girls coord set features elegant ruffle and lace detailing, offering a stylish co ord set look with premium comfort for everyday wear.
*COMFORTABLE RELAXED FIT: This coord set for kids girls comes with a relaxed silhouette, elastic waistband, and easy fit design, ensuring comfort and flexibility for active kids.
*HIGH-QUALITY DENIM BUILD: Crafted with strong stitching and durable cotton denim fabric, this girls clothing set is made to last through regular wear and washing cycles.
*FEMININE DENIM STYLE: Mid blue denim with ruffle panel and lace accents creates a chic coord outfit look, perfect for modern kids wear girls styling.
*EASY CARE SET: Machine washable and easy to maintain. Includes 1 denim top and 1 denim pant, making it a complete kids clothing set combo.</t>
        </is>
      </c>
      <c r="N144" s="48" t="inlineStr">
        <is>
          <t>Introduce a perfect blend of style and comfort with this Purple United kids girls coord set, designed in a premium denim theme with delicate ruffle and lace detailing. This co ord set reflects modern kids wear girls fashion with a soft and elegant touch.
Crafted from high-quality cotton denim, this coord outfit offers breathable comfort and durability. The top features a stylish ruffle yoke with lace accents and button closure, while the pants come with an elastic waistband for a secure and flexible fit. The fabric is soft yet sturdy, ideal for everyday wear.
This girls clothing set is designed for both comfort and style. Lightweight construction ensures ease of movement, while durable stitching enhances longevity. The coordinated look adds a fashionable edge, making it stand out from regular outfits.
Perfect for casual outings, family gatherings, playdates, or special occasions, this kids clothing set combo offers versatile styling options.
Easy to maintain with machine wash care, this coord set for girls includes one denim top and one pant. Choose the right size for the best fit and upgrade your child’s wardrobe with this premium outfit.</t>
        </is>
      </c>
    </row>
    <row r="145">
      <c r="A145" s="42" t="n"/>
      <c r="B145" s="34" t="inlineStr">
        <is>
          <t>PBTSHS003138</t>
        </is>
      </c>
      <c r="C145" s="34" t="inlineStr">
        <is>
          <t>APPAREL</t>
        </is>
      </c>
      <c r="D145" s="34" t="inlineStr">
        <is>
          <t>T-SHIRT</t>
        </is>
      </c>
      <c r="E145" s="34" t="inlineStr">
        <is>
          <t>BOYS</t>
        </is>
      </c>
      <c r="F145" s="34" t="inlineStr">
        <is>
          <t>BROWN</t>
        </is>
      </c>
      <c r="G145" s="34" t="inlineStr">
        <is>
          <t>PBTSHS003138-BROWN</t>
        </is>
      </c>
      <c r="H145" s="49" t="inlineStr">
        <is>
          <t>Purple United Kids Boys Tshirt | Graphic Print | Soft Cotton Comfort | Breathable Fabric | Half Sleeve Casual Style | Brown | Everyday Summer Wear | Trendy Tshirt for Boys | Kids Daily Wear</t>
        </is>
      </c>
      <c r="I145" s="48" t="inlineStr">
        <is>
          <t>Kids Boys Casual Brown Tshirt</t>
        </is>
      </c>
      <c r="J145" s="49" t="inlineStr">
        <is>
          <t xml:space="preserve">Purple United Kids Boys Brown Soft Cotton Fabric Round-Neck Comfort Casual Fit Tshirt </t>
        </is>
      </c>
      <c r="K145" s="49" t="inlineStr">
        <is>
          <t>Kids Boys Tshirt in Brown with Soft Fabric &amp; Round-Neck Comfort, Casual Fit for Summers</t>
        </is>
      </c>
      <c r="L145" s="49" t="inlineStr">
        <is>
          <t>Purple United Kids Boys Tshirt in Brown with Soft Cotton Comfort &amp; Casual Fit</t>
        </is>
      </c>
      <c r="M145" s="51" t="inlineStr">
        <is>
          <t>* SOFT COTTON COMFORT: Crafted from premium soft cotton fabric, this Kids Boys Tshirt offers breathable comfort, lightweight feel, and skin-friendly wear, making it ideal for daily use, playtime, travel, and summer styling.
* REGULAR EASY FIT: Designed in a regular fit with crew neck and half sleeves, this Tshirt For Boys allows easy movement and relaxed comfort, making it suitable for growing kids and everyday wear.
* LONG-LASTING QUALITY: Made with durable stitching, reinforced seams, and shape-retention fabric, this boys tshirt maintains softness, structure, and colour freshness even after repeated washing and regular use.
* MODERN CASUAL LOOK: Finished in a rich shade with a clean premium aesthetic, this Kids Boys Tshirt is perfect for casual outings, school breaks, vacations, and stylish everyday dressing.
* EASY MAINTENANCE: Machine wash cold with similar colours, dry in shade, and avoid bleach for best care. Package includes 1 Kids Boys Tshirt designed for comfort and versatile styling.</t>
        </is>
      </c>
      <c r="N145" s="48" t="inlineStr">
        <is>
          <t>Bring premium everyday style to your child’s wardrobe with this Purple United Kids Boys Tshirt. Designed for modern young trendsetters, this Kids Boys Tshirt blends soft comfort, smart casual appeal, and versatile styling, making it a must-have Tshirt For Boys for daily wear.
Crafted from premium soft cotton fabric, this boys t shirt offers a breathable and lightweight feel for all-day comfort. The smooth knitted material feels gentle on skin and is suitable for warm weather. Designed with a classic crew neck, half sleeves, and regular fit silhouette, this t shirt for kids boys allows easy movement and effortless wear. Quality stitching and durable seams help maintain shape after repeated washing. The rich colour adds a premium finish, making this casual t shirt a stylish addition to kids wear collections.
This Kids Boys Tshirt is designed to deliver comfort, durability, and style in one essential piece. The breathable cotton fabric helps keep kids cool during active routines, while the lightweight construction supports easy movement. Strong stitching ensures long-lasting wear, making it reliable for regular use. Its versatile shade pairs easily with jeans, joggers, shorts, or trousers, giving multiple outfit options. Whether indoors or outdoors, this boys tshirt keeps your child looking neat, stylish, and comfortable throughout the day.
Perfect for school breaks, park visits, travel, birthday gatherings, playdates, and casual outings, this Tshirt For Boys fits every everyday occasion. Pair it with denim, shorts, or lowers for a smart relaxed look. A stylish kid tshirt suitable for summer wear and year-round layering.
Choose the right size for a comfortable regular fit. Machine wash cold with similar colours, dry in shade, and avoid bleach for lasting softness and colour freshness. Package includes 1 Purple United Kids Boys Tshirt, ready to upgrade everyday styling.</t>
        </is>
      </c>
    </row>
    <row r="146">
      <c r="A146" s="42" t="n"/>
      <c r="B146" s="34" t="inlineStr">
        <is>
          <t>PBTSHS003138</t>
        </is>
      </c>
      <c r="C146" s="34" t="inlineStr">
        <is>
          <t>APPAREL</t>
        </is>
      </c>
      <c r="D146" s="34" t="inlineStr">
        <is>
          <t>T-SHIRT</t>
        </is>
      </c>
      <c r="E146" s="34" t="inlineStr">
        <is>
          <t>BOYS</t>
        </is>
      </c>
      <c r="F146" s="34" t="inlineStr">
        <is>
          <t>WHITE</t>
        </is>
      </c>
      <c r="G146" s="34" t="inlineStr">
        <is>
          <t>PBTSHS003138-WHITE</t>
        </is>
      </c>
      <c r="H146" s="49" t="inlineStr">
        <is>
          <t>Purple United Kids Boys Tshirt | Graphic Print | Soft Cotton Comfort | Breathable Fabric | Half Sleeve Casual Style | White | Everyday Summer Wear | Trendy Tshirt for Boys | Kids Daily Wear</t>
        </is>
      </c>
      <c r="I146" s="48" t="inlineStr">
        <is>
          <t>Kids Boys Casual White Tshirt</t>
        </is>
      </c>
      <c r="J146" s="49" t="inlineStr">
        <is>
          <t xml:space="preserve">Purple United Kids Boys White Soft Cotton Fabric Round-Neck Comfort Casual Fit Tshirt </t>
        </is>
      </c>
      <c r="K146" s="49" t="inlineStr">
        <is>
          <t>Kids Boys Tshirt in White with Soft Fabric &amp; Round-Neck Comfort, Casual Fit for Summers</t>
        </is>
      </c>
      <c r="L146" s="49" t="inlineStr">
        <is>
          <t>Purple United Kids Boys Tshirt in White with Soft Cotton Comfort &amp; Casual Fit</t>
        </is>
      </c>
      <c r="M146" s="51" t="inlineStr">
        <is>
          <t>* SOFT COTTON COMFORT: Crafted from premium soft cotton fabric, this Kids Boys Tshirt offers breathable comfort, lightweight feel, and skin-friendly wear, making it ideal for daily use, playtime, travel, and summer styling.
* REGULAR EASY FIT: Designed in a regular fit with crew neck and half sleeves, this Tshirt For Boys allows easy movement and relaxed comfort, making it suitable for growing kids and everyday wear.
* LONG-LASTING QUALITY: Made with durable stitching, reinforced seams, and shape-retention fabric, this boys tshirt maintains softness, structure, and colour freshness even after repeated washing and regular use.
* MODERN CASUAL LOOK: Finished in a rich shade with a clean premium aesthetic, this Kids Boys Tshirt is perfect for casual outings, school breaks, vacations, and stylish everyday dressing.
* EASY MAINTENANCE: Machine wash cold with similar colours, dry in shade, and avoid bleach for best care. Package includes 1 Kids Boys Tshirt designed for comfort and versatile styling.</t>
        </is>
      </c>
      <c r="N146" s="48" t="inlineStr">
        <is>
          <t>Bring premium everyday style to your child’s wardrobe with this Purple United Kids Boys Tshirt. Designed for modern young trendsetters, this Kids Boys Tshirt blends soft comfort, smart casual appeal, and versatile styling, making it a must-have Tshirt For Boys for daily wear.
Crafted from premium soft cotton fabric, this boys t shirt offers a breathable and lightweight feel for all-day comfort. The smooth knitted material feels gentle on skin and is suitable for warm weather. Designed with a classic crew neck, half sleeves, and regular fit silhouette, this t shirt for kids boys allows easy movement and effortless wear. Quality stitching and durable seams help maintain shape after repeated washing. The rich colour adds a premium finish, making this casual t shirt a stylish addition to kids wear collections.
This Kids Boys Tshirt is designed to deliver comfort, durability, and style in one essential piece. The breathable cotton fabric helps keep kids cool during active routines, while the lightweight construction supports easy movement. Strong stitching ensures long-lasting wear, making it reliable for regular use. Its versatile shade pairs easily with jeans, joggers, shorts, or trousers, giving multiple outfit options. Whether indoors or outdoors, this boys tshirt keeps your child looking neat, stylish, and comfortable throughout the day.
Perfect for school breaks, park visits, travel, birthday gatherings, playdates, and casual outings, this Tshirt For Boys fits every everyday occasion. Pair it with denim, shorts, or lowers for a smart relaxed look. A stylish kid tshirt suitable for summer wear and year-round layering.
Choose the right size for a comfortable regular fit. Machine wash cold with similar colours, dry in shade, and avoid bleach for lasting softness and colour freshness. Package includes 1 Purple United Kids Boys Tshirt, ready to upgrade everyday styling.</t>
        </is>
      </c>
    </row>
    <row r="147">
      <c r="A147" s="42" t="n"/>
      <c r="B147" s="34" t="inlineStr">
        <is>
          <t>PBTSHS003137</t>
        </is>
      </c>
      <c r="C147" s="34" t="inlineStr">
        <is>
          <t>APPAREL</t>
        </is>
      </c>
      <c r="D147" s="34" t="inlineStr">
        <is>
          <t>T-SHIRT</t>
        </is>
      </c>
      <c r="E147" s="34" t="inlineStr">
        <is>
          <t>BOYS</t>
        </is>
      </c>
      <c r="F147" s="34" t="inlineStr">
        <is>
          <t>GREEN</t>
        </is>
      </c>
      <c r="G147" s="34" t="inlineStr">
        <is>
          <t>PBTSHS003137-GREEN</t>
        </is>
      </c>
      <c r="H147" s="49" t="inlineStr">
        <is>
          <t>Purple United Kids Boys Tshirt | Graphic Print | Soft Cotton | Green Ombre | Casual Wear | Premium Everyday Comfort | Stylish Regular Fit | Breathable Summer Tshirt for Boys</t>
        </is>
      </c>
      <c r="I147" s="48" t="inlineStr">
        <is>
          <t>Kids Boys Green Ombre Tshirt</t>
        </is>
      </c>
      <c r="J147" s="49" t="inlineStr">
        <is>
          <t>Purple United Kids Boys Tshirt Green Ombre Cotton Regular Fit Half Sleeve Casual T-Shirt</t>
        </is>
      </c>
      <c r="K147" s="49" t="inlineStr">
        <is>
          <t>Kids Boys Tshirt in Green Ombre with Soft Fabric &amp; Half Sleeve, Perfect Daily Casual Wear</t>
        </is>
      </c>
      <c r="L147" s="49" t="inlineStr">
        <is>
          <t>Purple United Kids Boys Tshirt in Green Ombre with Soft Fabric &amp; Half Sleeve Fit</t>
        </is>
      </c>
      <c r="M147" s="51" t="inlineStr">
        <is>
          <t>* SOFT COTTON COMFORT: Kids Boys Tshirt crafted in soft breathable cotton fabric with smooth handfeel and lightweight comfort. Perfect t shirt for boys for daily wear, summer outings and active play.
* REGULAR EASY FIT: Regular fit Boys t shirt with crew neck and half sleeves for easy movement. Designed for growing kids, offering comfortable wear for school, travel and casual days.
* LONG-LASTING QUALITY: Premium stitched cotton blend construction with durable seams and shape retention. This tshirt for boys maintains softness, colour freshness and comfort after repeated washes.
* MODERN OMBRE LOOK: Stylish ombre Kids Boys Tshirt with modern front graphic detail. Fresh casual design makes it ideal for holidays, playdates, weekend dressing and everyday fashion.
* EASY MAINTENANCE: Machine wash cold with similar colours, dry in shade and use mild detergent. Package includes 1 premium Purple United tshirt for boys ready to wear or gift.</t>
        </is>
      </c>
      <c r="N147" s="48" t="inlineStr">
        <is>
          <t>Refresh your child’s everyday wardrobe with this Purple United Kids Boys Tshirt in a stylish ombre finish. Designed for modern young trendsetters, this Kids Boys Tshirt combines premium comfort, fresh colour styling, and easy versatility, making it an ideal Tshirt For Boys for daily wear and active routines.
Crafted from soft breathable cotton-rich fabric, this boys t shirt offers a lightweight feel and smooth touch against the skin. The knitted material promotes airflow, helping keep kids cool and comfortable. Designed with a classic crew neck, half sleeves, and regular fit silhouette, this t shirt for kids boys ensures easy movement and relaxed wear. Durable stitching and quality seams help maintain structure after repeated washes. The eye-catching ombre design with modern front graphic adds premium visual appeal, making this casual t shirt a standout choice in kids wear.
This Kids Boys Tshirt is built to deliver comfort, durability, and effortless style. The breathable fabric supports all-day freshness, while the lightweight construction allows unrestricted movement during play. Strong stitching enhances longevity, making it reliable for regular use. Its versatile shade pairs easily with jeans, shorts, joggers, or lowers for multiple outfit combinations. Whether indoors or outdoors, this tshirt for boys keeps your child looking stylish and feeling comfortable.
Perfect for school breaks, park visits, family outings, vacations, birthday gatherings, and casual weekends, this t shirt for boys suits every everyday occasion. Pair it with denim or shorts for a cool relaxed look. A practical kid tshirt for summer wear, travel, and layering across seasons.
Choose the right size for a comfortable regular fit. Machine wash cold with similar colours, dry in shade, and avoid bleach to maintain softness and colour vibrancy. Package includes 1 Purple United Kids Boys Tshirt in ombre, ready to elevate everyday style.</t>
        </is>
      </c>
    </row>
    <row r="148">
      <c r="A148" s="42" t="n"/>
      <c r="B148" s="34" t="inlineStr">
        <is>
          <t>PGCSCS003495</t>
        </is>
      </c>
      <c r="C148" s="34" t="inlineStr">
        <is>
          <t>APPAREL</t>
        </is>
      </c>
      <c r="D148" s="34" t="inlineStr">
        <is>
          <t>CLOTHING SET</t>
        </is>
      </c>
      <c r="E148" s="34" t="inlineStr">
        <is>
          <t>KIDS GIRLS</t>
        </is>
      </c>
      <c r="F148" s="34" t="inlineStr">
        <is>
          <t>LT. PINK / WHITE</t>
        </is>
      </c>
      <c r="G148" s="34" t="inlineStr">
        <is>
          <t>PGCSCS003495-LT. PINK / WHITE</t>
        </is>
      </c>
      <c r="H148" s="48" t="inlineStr">
        <is>
          <t>Purple United Kids Girls Coord Set | Lace Design | Soft Cotton Fabric | Light Pink White | Casual Wear Clothing Set | Premium Summer Outfit | Sleeveless Comfort Fit | Stylish Top &amp; Pants Set for Girls</t>
        </is>
      </c>
      <c r="I148" s="48" t="inlineStr">
        <is>
          <t>Kids Girls Pink Coord Set</t>
        </is>
      </c>
      <c r="J148" s="49" t="inlineStr">
        <is>
          <t>Purple United Kids Girls Light Pink White Cotton Lace Top Comfort Straight Pants Coord Set</t>
        </is>
      </c>
      <c r="K148" s="49" t="inlineStr">
        <is>
          <t>Kids Girls Coord Set in Light Pink White with Cotton Lace Top &amp; Comfort Straight Fit Pants</t>
        </is>
      </c>
      <c r="L148" s="49" t="inlineStr">
        <is>
          <t>Purple United Kids Girls Coord Set in Light Pink White with Lace Top &amp; Straight Pants</t>
        </is>
      </c>
      <c r="M148" s="51" t="inlineStr">
        <is>
          <t>* PREMIUM SOFT COMFORT: Purple United Kids Girls Coord Set crafted in soft breathable cotton blend fabric with sleeveless lace detailed top and easy wear pants for all-day comfort during summer outings and casual wear.
* RELAXED EASY FIT: Designed for growing girls with a relaxed comfort fit, elasticated waistband pants and easy movement silhouette. Ideal kids wear for daily use, vacations, festive wear and playtime.
* LONG-LASTING QUALITY: Made with premium stitching, skin-friendly fabric and durable construction for repeated wear. Lightweight material helps maintain shape, softness and comfort wash after wash.
* ELEGANT LACE LOOK: Stylish lace theme sleeveless top with frill hem paired with straight pants in pastel colour combination. Perfect girls clothing set for birthdays, outings and summer fashion looks.
* EASY MAINTENANCE: Package contains 1 sleeveless top and 1 matching pant. Gentle machine wash or hand wash recommended. Do not bleach. Easy care coord set for girls and everyday wear.</t>
        </is>
      </c>
      <c r="N148" s="48" t="inlineStr">
        <is>
          <t xml:space="preserve">Refresh your child’s wardrobe with this Purple United Kids Girls Coord Set. Designed for stylish young girls, this premium coord outfit blends elegant lace detailing, modern comfort, and versatile appeal, making it a perfect Kids Girls Coord Set for everyday wear, outings, and special moments.
Crafted from soft breathable cotton blend fabric, this girls clothing set offers a lightweight feel and gentle touch on the skin. The sleeveless top features delicate lace detailing, frill hem styling, and easy back closure for convenient wear. Matching straight pants come with an elasticated waistband for flexible comfort and easy movement. Quality stitching and durable seams help maintain shape after repeated washes. The dress colour combination adds a fresh premium look, making this coord set for girls a standout addition to kids wear collections.
This Kids Girls Coord Set is designed to deliver comfort, durability, and effortless style. Breathable fabric keeps kids cool during warm weather, while the lightweight construction supports free movement for active days. Strong stitching enhances long-lasting wear, making it reliable for regular use. Its versatile colours pair beautifully with sandals, sneakers, or flats. Whether relaxing or playing, this girls clothing set keeps your child comfortable and stylish throughout the day.
Perfect for birthday parties, family outings, holidays, playdates, park visits, casual gatherings, and festive events, this kids girls dress style coord outfit suits multiple occasions. Pair with sandals or ballerinas for a complete look. A practical girls summer clothing set cotton option for travel and seasonal dressing.
Choose the right size for a comfortable relaxed fit. Gentle machine wash or hand wash recommended. Wash with similar colours and avoid bleach to maintain softness and colour freshness. Package includes 1 sleeveless lace top and 1 matching pant in this premium Kids Girls Coord Set.
</t>
        </is>
      </c>
    </row>
    <row r="149">
      <c r="A149" s="42" t="n"/>
      <c r="B149" s="34" t="inlineStr">
        <is>
          <t>PGCSCS003496</t>
        </is>
      </c>
      <c r="C149" s="34" t="inlineStr">
        <is>
          <t>APPAREL</t>
        </is>
      </c>
      <c r="D149" s="34" t="inlineStr">
        <is>
          <t>CLOTHING SET</t>
        </is>
      </c>
      <c r="E149" s="34" t="inlineStr">
        <is>
          <t>KIDS GIRLS</t>
        </is>
      </c>
      <c r="F149" s="34" t="inlineStr">
        <is>
          <t>PEACH / WHITE</t>
        </is>
      </c>
      <c r="G149" s="34" t="inlineStr">
        <is>
          <t>PGCSCS003495-PEACH / WHITE</t>
        </is>
      </c>
      <c r="H149" s="48" t="inlineStr">
        <is>
          <t>Purple United Kids Girls Coord Set | Lace Design | Soft Cotton Fabric | Peach White | Casual Wear Clothing Set | Premium Summer Outfit | Sleeveless Comfort Fit | Stylish Top &amp; Pants Set for Girls</t>
        </is>
      </c>
      <c r="I149" s="48" t="inlineStr">
        <is>
          <t>Kids Girls Peach Coord Set</t>
        </is>
      </c>
      <c r="J149" s="49" t="inlineStr">
        <is>
          <t>Purple United Kids Girls Peach White Cotton Lace Top Comfort Straight Pants Coord Set</t>
        </is>
      </c>
      <c r="K149" s="49" t="inlineStr">
        <is>
          <t>Kids Girls Coord Set in Peach White with Cotton Lace Top &amp; Comfort Straight Fit Pants</t>
        </is>
      </c>
      <c r="L149" s="49" t="inlineStr">
        <is>
          <t>Purple United Kids Girls Coord Set in Peach White with Lace Top &amp; Straight Pants</t>
        </is>
      </c>
      <c r="M149" s="51" t="inlineStr">
        <is>
          <t>* PREMIUM SOFT COMFORT: Purple United Kids Girls Coord Set crafted in soft breathable cotton blend fabric with sleeveless lace detailed top and easy wear pants for all-day comfort during summer outings and casual wear.
* RELAXED EASY FIT: Designed for growing girls with a relaxed comfort fit, elasticated waistband pants and easy movement silhouette. Ideal kids wear for daily use, vacations, festive wear and playtime.
* LONG-LASTING QUALITY: Made with premium stitching, skin-friendly fabric and durable construction for repeated wear. Lightweight material helps maintain shape, softness and comfort wash after wash.
* ELEGANT LACE LOOK: Stylish lace theme sleeveless top with frill hem paired with straight pants in pastel colour combination. Perfect girls clothing set for birthdays, outings and summer fashion looks.
* EASY MAINTENANCE: Package contains 1 sleeveless top and 1 matching pant. Gentle machine wash or hand wash recommended. Do not bleach. Easy care coord set for girls and everyday wear.</t>
        </is>
      </c>
      <c r="N149" s="48" t="inlineStr">
        <is>
          <t xml:space="preserve">Refresh your child’s wardrobe with this Purple United Kids Girls Coord Set. Designed for stylish young girls, this premium coord outfit blends elegant lace detailing, modern comfort, and versatile appeal, making it a perfect Kids Girls Coord Set for everyday wear, outings, and special moments.
Crafted from soft breathable cotton blend fabric, this girls clothing set offers a lightweight feel and gentle touch on the skin. The sleeveless top features delicate lace detailing, frill hem styling, and easy back closure for convenient wear. Matching straight pants come with an elasticated waistband for flexible comfort and easy movement. Quality stitching and durable seams help maintain shape after repeated washes. The dress colour combination adds a fresh premium look, making this coord set for girls a standout addition to kids wear collections.
This Kids Girls Coord Set is designed to deliver comfort, durability, and effortless style. Breathable fabric keeps kids cool during warm weather, while the lightweight construction supports free movement for active days. Strong stitching enhances long-lasting wear, making it reliable for regular use. Its versatile colours pair beautifully with sandals, sneakers, or flats. Whether relaxing or playing, this girls clothing set keeps your child comfortable and stylish throughout the day.
Perfect for birthday parties, family outings, holidays, playdates, park visits, casual gatherings, and festive events, this kids girls dress style coord outfit suits multiple occasions. Pair with sandals or ballerinas for a complete look. A practical girls summer clothing set cotton option for travel and seasonal dressing.
Choose the right size for a comfortable relaxed fit. Gentle machine wash or hand wash recommended. Wash with similar colours and avoid bleach to maintain softness and colour freshness. Package includes 1 sleeveless lace top and 1 matching pant in this premium Kids Girls Coord Set.
</t>
        </is>
      </c>
    </row>
    <row r="150">
      <c r="A150" s="42" t="n"/>
      <c r="B150" s="34" t="inlineStr">
        <is>
          <t>PBDNHS003005</t>
        </is>
      </c>
      <c r="C150" s="34" t="inlineStr">
        <is>
          <t>APPAREL</t>
        </is>
      </c>
      <c r="D150" s="34" t="inlineStr">
        <is>
          <t>SHORTS</t>
        </is>
      </c>
      <c r="E150" s="34" t="inlineStr">
        <is>
          <t>KIDS BOYS</t>
        </is>
      </c>
      <c r="F150" s="34" t="inlineStr">
        <is>
          <t>BLACK</t>
        </is>
      </c>
      <c r="G150" s="34" t="inlineStr">
        <is>
          <t>PBDNHS003005-BLACK</t>
        </is>
      </c>
      <c r="H150" s="49" t="inlineStr">
        <is>
          <t>Purple United Kids Boys Shorts | Contrast Stitch Design | Soft Premium Fabric | Breathable Comfort Fit | Black | Everyday Summer Wear for Boys | Perfect for Active Daily Use</t>
        </is>
      </c>
      <c r="I150" s="48" t="inlineStr">
        <is>
          <t>Kids Boys Classic Black Shorts</t>
        </is>
      </c>
      <c r="J150" s="49" t="inlineStr">
        <is>
          <t xml:space="preserve">Purple United Kids Boys Black Soft Fabric Comfort Relaxed Fit Casual Active Wear Shorts </t>
        </is>
      </c>
      <c r="K150" s="49" t="inlineStr">
        <is>
          <t>Kids Boys Shorts in Black with Soft &amp; Sweat-Friendly Fabric, Comfort Fit for Active Wear</t>
        </is>
      </c>
      <c r="L150" s="49" t="inlineStr">
        <is>
          <t>Purple United Kids Boys Shorts in Black with Soft Fabric &amp; Comfort Relaxed Fit</t>
        </is>
      </c>
      <c r="M150" s="51" t="inlineStr">
        <is>
          <t>* SOFT ALL-DAY COMFORT: Crafted from soft breathable fabric, these Kids Boys Shorts deliver lightweight comfort and easy movement, making them ideal shorts for boys for summer wear, outings, playtime, and daily use.
* RELAXED EASY FIT: Designed for growing boys with a comfortable regular fit, secure waistband, and flexible structure. These boys shorts allow easy movement for active kids and everyday comfort.
* LONG-LASTING QUALITY: Made with premium stitching, strong seams, and quality fabric, these kids boys shorts maintain shape, colour freshness, and softness even after repeated washing and regular wear.
* CLEAN CASUAL LOOK: Styled in a crisp shade with functional pocket detailing, these shorts for boys offer a smart versatile look perfect for holidays, casual outings, and summer dressing.
* EASY MAINTENANCE: Machine wash cold with similar colours, dry in shade, and avoid bleach. Package includes 1 pair of Kids Boys Shorts designed for stylish everyday wear and comfort.</t>
        </is>
      </c>
      <c r="N150" s="48" t="inlineStr">
        <is>
          <t>Upgrade everyday style with these Purple United Kids Boys Shorts in a crisp shade. Designed for modern active kids, these premium shorts for boys combine clean aesthetics, lightweight comfort, and versatile wear, making them an essential choice for summer dressing, outings, and everyday play.
Crafted from soft breathable fabric, these kids boys shorts offer a lightweight feel and smooth touch for all-day comfort. The premium woven material helps maintain airflow during warm weather. Designed with a secure waistband, functional side pockets, and a comfortable regular fit, these boys shorts ensure easy movement. Contrast stitch detailing adds a refined modern finish. Durable seams and quality stitching help retain structure after repeated washes. The crisp colour creates a smart versatile look, making these cotton shorts for kids boys suitable for both casual and dressed-up styling.
These Kids Boys Shorts are made to deliver comfort, durability, and effortless style. Breathable fabric helps keep kids cool during active routines, while the lightweight construction supports unrestricted movement. Strong stitching ensures long-lasting wear, making them reliable for regular use. The clean shade pairs easily with t shirts, polos, and shirts for multiple outfit combinations. Functional pockets add daily convenience, while the structured fit keeps a neat appearance. Whether indoors or outdoors, these shorts for boys keep your child comfortable and stylish throughout the day.
Perfect for park visits, family outings, vacations, birthday gatherings, casual lunches, and weekend wear, these boys shorts suit multiple occasions. Pair them with casual t shirts for playtime or polos for a smarter look. A practical half pant for boys ideal for summer travel and daily styling.
Choose the right size for a comfortable regular fit. Machine wash cold with similar colours, dry in shade, and avoid bleach to maintain softness and colour freshness. Package includes 1 pair of Purple United Kids Boys Shorts, ready to refresh everyday wardrobes with premium comfort.</t>
        </is>
      </c>
    </row>
    <row r="151">
      <c r="A151" s="42" t="n"/>
      <c r="B151" s="34" t="inlineStr">
        <is>
          <t>PGTSHS002784</t>
        </is>
      </c>
      <c r="C151" s="34" t="inlineStr">
        <is>
          <t>APPAREL</t>
        </is>
      </c>
      <c r="D151" s="34" t="inlineStr">
        <is>
          <t>T-SHIRT</t>
        </is>
      </c>
      <c r="E151" s="34" t="inlineStr">
        <is>
          <t>KIDS GIRLS</t>
        </is>
      </c>
      <c r="F151" s="34" t="inlineStr">
        <is>
          <t>LT. PEACH</t>
        </is>
      </c>
      <c r="G151" s="34" t="inlineStr">
        <is>
          <t>PGTSHS002784-LT. PEACH</t>
        </is>
      </c>
      <c r="H151" s="49" t="inlineStr">
        <is>
          <t>Purple United Kids Girls Tshirt | Sequin Design | Soft Cotton Comfort Fit | Breathable &amp; Relaxed Fit | Light Peach | Stylish Casual Summer Everyday Tshirt For Girls</t>
        </is>
      </c>
      <c r="I151" s="48" t="inlineStr">
        <is>
          <t>Kids Girls Peach Cotton Tshirt</t>
        </is>
      </c>
      <c r="J151" s="49" t="inlineStr">
        <is>
          <t>Purple United Kids Girls Peach Short Sleeves Round Neck Soft Cotton Comfort Casual Tshirt</t>
        </is>
      </c>
      <c r="K151" s="49" t="inlineStr">
        <is>
          <t>Kids Girls Tshirt in Peach with Short Sleeves, Round Neck &amp; Soft Cotton Comfort Fit</t>
        </is>
      </c>
      <c r="L151" s="49" t="inlineStr">
        <is>
          <t>Purple United Kids Girls Tshirt with Short Sleeves &amp; Soft Cotton Comfort Fit</t>
        </is>
      </c>
      <c r="M151" s="51" t="inlineStr">
        <is>
          <t>* SOFT COTTON COMFORT: Crafted in soft breathable cotton fabric, this Kids Girls Tshirt offers lightweight comfort, smooth feel, and easy movement, making it ideal for daily wear, playtime, outings, and summer styling.
* REGULAR EASY FIT: Designed with a comfortable regular fit, round neck, and short sleeves, this Tshirt For Girls allows relaxed movement and all-day ease for growing kids.
* LONG-LASTING QUALITY: Made with premium stitching, durable seams, and shape-retention fabric, this girls tshirt maintains softness, colour freshness, and fit even after repeated washing and regular wear.
* SEQUIN LOOK: Styled in a light peach shade with elegant sequin front detail, this Kids Girls Tshirt adds a stylish touch perfect for outings, vacations, birthdays, and casual wear.
* EASY MAINTENANCE: Machine wash cold with similar colours, wash inside out, and dry in shade. Package includes 1 Purple United Kids Girls Tshirt designed for everyday comfort and style.</t>
        </is>
      </c>
      <c r="N151" s="48" t="inlineStr">
        <is>
          <t>Add cheerful everyday style to your child’s wardrobe with this Purple United Kids Girls Tshirt in light peach. Designed for modern young girls, this premium Tshirt For Girls blends soft comfort, playful shine, and versatile styling, making it a must-have Kids Girls Tshirt for casual wear and outings.
Crafted from soft breathable cotton-rich fabric, this girls tshirt offers a lightweight feel and smooth touch on the skin. The knitted material promotes airflow, helping keep kids cool in warm weather. Designed with a classic round neck, short sleeves, and regular fit silhouette, this t shirt for girls allows relaxed wear. Sequin embellished front detailing adds a stylish premium accent. Quality stitching and durable seams help maintain shape. The light peach colour creates a fresh and elegant look, making this girls' t-shirts style a standout choice in kids wear collections.
This Kids Girls Tshirt is designed to deliver comfort, durability, and effortless style. Breathable fabric supports all-day freshness, while the lightweight construction allows free movement. Strong stitching enhances long-lasting wear, making it reliable for regular use. The versatile peach shade pairs beautifully with jeans, shorts, skirts, or lowers for multiple outfit options. Whether indoors or outdoors, this tshirt for girls keeps your child looking fashionable and feeling comfortable throughout the day.
Perfect for school breaks, park visits, family outings, vacations, birthday gatherings, playdates, and casual weekends, this t-shirt for girls suits every everyday occasion. Pair it with denim or shorts for a smart relaxed look. A practical girls top ideal for summer wear, travel, and layering across seasons.
Choose the right size for a comfortable regular fit. Machine wash cold with similar colours, wash inside out, and dry in shade to maintain softness and embellishment quality. Package includes 1 Purple United Kids Girls Tshirt in light peach, ready to refresh everyday styling.</t>
        </is>
      </c>
    </row>
    <row r="152">
      <c r="A152" s="42" t="n"/>
      <c r="B152" s="34" t="inlineStr">
        <is>
          <t>PGTSHS003310</t>
        </is>
      </c>
      <c r="C152" s="34" t="inlineStr">
        <is>
          <t>APPAREL</t>
        </is>
      </c>
      <c r="D152" s="34" t="inlineStr">
        <is>
          <t>T-SHIRT</t>
        </is>
      </c>
      <c r="E152" s="34" t="inlineStr">
        <is>
          <t>KIDS GIRLS</t>
        </is>
      </c>
      <c r="F152" s="34" t="inlineStr">
        <is>
          <t>LT. PINK</t>
        </is>
      </c>
      <c r="G152" s="34" t="inlineStr">
        <is>
          <t>PGTSHS003310-LT. PINK</t>
        </is>
      </c>
      <c r="H152" s="49" t="inlineStr">
        <is>
          <t>Purple United Kids Girls Tshirt | Graphic Print | Soft &amp; Breathable Cotton Fabric | Tie Sleeve Comfort | Light Pink | Casual Summer Wear | Stylish Everyday Tshirt for Girls</t>
        </is>
      </c>
      <c r="I152" s="48" t="inlineStr">
        <is>
          <t>Kids Girls Pink Graphic Tshirt</t>
        </is>
      </c>
      <c r="J152" s="49" t="inlineStr">
        <is>
          <t>Purple United Kids Girls Light Pink Tie Sleeves Breathable Cotton Comfort Casual Tshirt</t>
        </is>
      </c>
      <c r="K152" s="49" t="inlineStr">
        <is>
          <t>Kids Girls Tshirt in Light Pink with Tie Sleeves &amp; Breathable Cotton Fabric for Summer Wear</t>
        </is>
      </c>
      <c r="L152" s="49" t="inlineStr">
        <is>
          <t>Purple United Kids Girls Tshirt in Light Pink with Tie Sleeves &amp; Comfort Fabric</t>
        </is>
      </c>
      <c r="M152" s="51" t="inlineStr">
        <is>
          <t>* SOFT COTTON COMFORT: Crafted in soft breathable cotton fabric, this Kids Girls Tshirt offers lightweight comfort, smooth feel, and easy movement, making it ideal for daily wear, playtime, outings, and summer styling.
* REGULAR EASY FIT: Designed with a comfortable regular fit, round neck, and short sleeves, this Tshirt For Girls allows relaxed movement and all-day ease for growing kids.
* LONG-LASTING QUALITY: Made with premium stitching, durable seams, and shape-retention fabric, this girls tshirt maintains softness, colour freshness, and fit even after repeated washing and regular wear.
* TIE SLEEVE LOOK: Styled in a light shade with trendy tie sleeve detail, this Kids Girls Tshirt adds a stylish touch perfect for outings, vacations, birthdays, and casual wear.
* EASY MAINTENANCE: Machine wash cold with similar colours, wash inside out, and dry in shade. Package includes 1 Purple United Kids Girls Tshirt designed for everyday comfort and style.</t>
        </is>
      </c>
      <c r="N152" s="48" t="inlineStr">
        <is>
          <t>Add cheerful everyday style to your child’s wardrobe with this Purple United Kids Girls Tshirt. Designed for modern young girls, this premium Tshirt For Girls blends soft comfort, playful fashion, and versatile styling, making it a must-have Kids Girls Tshirt for daily wear and outings.
Crafted from soft breathable cotton-rich fabric, this girls tshirt offers a lightweight feel and smooth touch on the skin. The knitted material promotes airflow, helping keep kids cool in warm weather. Designed with a classic round neck, short sleeves, and regular fit silhouette, this t shirt for girls allows easy movement and relaxed wear. Stylish tie sleeve detailing adds a trendy premium touch. Quality stitching and durable seams help maintain shape after repeated washes. The light colour creates a fresh and elegant look, making this girls' t-shirts style a standout choice in kids wear collections.
This Kids Girls Tshirt is designed to deliver comfort, durability, and effortless style. Breathable fabric supports all-day freshness, while the lightweight construction allows free movement during play and daily routines. Strong stitching enhances long-lasting wear, making it reliable for regular use. The versatile shade pairs beautifully with jeans, shorts, skirts, or lowers for multiple outfit options. Tie sleeve styling adds extra charm without compromising comfort. Whether indoors or outdoors, this tshirt for girls keeps your child looking fashionable and feeling comfortable throughout the day.
Perfect for school breaks, park visits, family outings, vacations, birthday gatherings, playdates, and casual weekends, this t-shirt for girls suits every everyday occasion. Pair it with denim or shorts for a smart relaxed look.
Choose the right size for a comfortable regular fit. Machine wash cold with similar colours, wash inside out, and dry in shade to maintain softness and colour freshness. Package includes 1 Purple United Kids Girls Tshirt, ready to refresh everyday styling.</t>
        </is>
      </c>
    </row>
    <row r="153">
      <c r="A153" s="42" t="n"/>
      <c r="B153" s="34" t="inlineStr">
        <is>
          <t>PGTSHS003310</t>
        </is>
      </c>
      <c r="C153" s="34" t="inlineStr">
        <is>
          <t>APPAREL</t>
        </is>
      </c>
      <c r="D153" s="34" t="inlineStr">
        <is>
          <t>T-SHIRT</t>
        </is>
      </c>
      <c r="E153" s="34" t="inlineStr">
        <is>
          <t>KIDS GIRLS</t>
        </is>
      </c>
      <c r="F153" s="34" t="inlineStr">
        <is>
          <t>LT. BLUE</t>
        </is>
      </c>
      <c r="G153" s="34" t="inlineStr">
        <is>
          <t>PGTSHS003310-LT. BLUE</t>
        </is>
      </c>
      <c r="H153" s="49" t="inlineStr">
        <is>
          <t>Purple United Kids Girls Tshirt | Graphic Print | Soft &amp; Breathable Cotton Fabric | Tie Sleeve Comfort | Light Blue | Casual Summer Wear | Stylish Everyday Tshirt for Girls</t>
        </is>
      </c>
      <c r="I153" s="48" t="inlineStr">
        <is>
          <t>Kids Girls Blue Graphic Tshirt</t>
        </is>
      </c>
      <c r="J153" s="49" t="inlineStr">
        <is>
          <t>Purple United Kids Girls Light Blue Tie Sleeves Breathable Cotton Comfort Casual Tshirt</t>
        </is>
      </c>
      <c r="K153" s="49" t="inlineStr">
        <is>
          <t>Kids Girls Tshirt in Light Blue with Tie Sleeves &amp; Breathable Cotton Fabric for Summer Wear</t>
        </is>
      </c>
      <c r="L153" s="49" t="inlineStr">
        <is>
          <t>Purple United Kids Girls Tshirt in Light Blue with Tie Sleeves &amp; Comfort Fabric</t>
        </is>
      </c>
      <c r="M153" s="51" t="inlineStr">
        <is>
          <t>* SOFT COTTON COMFORT: Crafted in soft breathable cotton fabric, this Kids Girls Tshirt offers lightweight comfort, smooth feel, and easy movement, making it ideal for daily wear, playtime, outings, and summer styling.
* REGULAR EASY FIT: Designed with a comfortable regular fit, round neck, and short sleeves, this Tshirt For Girls allows relaxed movement and all-day ease for growing kids.
* LONG-LASTING QUALITY: Made with premium stitching, durable seams, and shape-retention fabric, this girls tshirt maintains softness, colour freshness, and fit even after repeated washing and regular wear.
* TIE SLEEVE LOOK: Styled in a light shade with trendy tie sleeve detail, this Kids Girls Tshirt adds a stylish touch perfect for outings, vacations, birthdays, and casual wear.
* EASY MAINTENANCE: Machine wash cold with similar colours, wash inside out, and dry in shade. Package includes 1 Purple United Kids Girls Tshirt designed for everyday comfort and style.</t>
        </is>
      </c>
      <c r="N153" s="48" t="inlineStr">
        <is>
          <t>Add cheerful everyday style to your child’s wardrobe with this Purple United Kids Girls Tshirt. Designed for modern young girls, this premium Tshirt For Girls blends soft comfort, playful fashion, and versatile styling, making it a must-have Kids Girls Tshirt for daily wear and outings.
Crafted from soft breathable cotton-rich fabric, this girls tshirt offers a lightweight feel and smooth touch on the skin. The knitted material promotes airflow, helping keep kids cool in warm weather. Designed with a classic round neck, short sleeves, and regular fit silhouette, this t shirt for girls allows easy movement and relaxed wear. Stylish tie sleeve detailing adds a trendy premium touch. Quality stitching and durable seams help maintain shape after repeated washes. The light colour creates a fresh and elegant look, making this girls' t-shirts style a standout choice in kids wear collections.
This Kids Girls Tshirt is designed to deliver comfort, durability, and effortless style. Breathable fabric supports all-day freshness, while the lightweight construction allows free movement during play and daily routines. Strong stitching enhances long-lasting wear, making it reliable for regular use. The versatile shade pairs beautifully with jeans, shorts, skirts, or lowers for multiple outfit options. Tie sleeve styling adds extra charm without compromising comfort. Whether indoors or outdoors, this tshirt for girls keeps your child looking fashionable and feeling comfortable throughout the day.
Perfect for school breaks, park visits, family outings, vacations, birthday gatherings, playdates, and casual weekends, this t-shirt for girls suits every everyday occasion. Pair it with denim or shorts for a smart relaxed look.
Choose the right size for a comfortable regular fit. Machine wash cold with similar colours, wash inside out, and dry in shade to maintain softness and colour freshness. Package includes 1 Purple United Kids Girls Tshirt, ready to refresh everyday styling.</t>
        </is>
      </c>
    </row>
    <row r="154">
      <c r="A154" s="42" t="n"/>
      <c r="B154" s="34" t="inlineStr">
        <is>
          <t>PGDRSS003431</t>
        </is>
      </c>
      <c r="C154" s="34" t="inlineStr">
        <is>
          <t>APPAREL</t>
        </is>
      </c>
      <c r="D154" s="34" t="inlineStr">
        <is>
          <t>DRESS</t>
        </is>
      </c>
      <c r="E154" s="34" t="inlineStr">
        <is>
          <t>KIDS GIRLS</t>
        </is>
      </c>
      <c r="F154" s="34" t="inlineStr">
        <is>
          <t>LT. BLUE</t>
        </is>
      </c>
      <c r="G154" s="34" t="inlineStr">
        <is>
          <t>PGDRSS003431-LT. BLUE</t>
        </is>
      </c>
      <c r="H154" s="49" t="inlineStr">
        <is>
          <t>Purple United Kids Girls Dress | Striped Tiered Design | Flutter Sleeve Comfort | Breathable &amp; Soft Fabric | Light Blue | Casual Party Wear | Stylish Summer Outfit for Girls</t>
        </is>
      </c>
      <c r="I154" s="48" t="inlineStr">
        <is>
          <t>Kids Girls Blue Striped Dress</t>
        </is>
      </c>
      <c r="J154" s="49" t="inlineStr">
        <is>
          <t>Purple United Kids Girls Light Blue Tiered Striped Flutter Sleeve Comfort Party Wear Dress</t>
        </is>
      </c>
      <c r="K154" s="49" t="inlineStr">
        <is>
          <t>Kids Girls Dress in Light Blue with Tiered Stripes &amp; Flutter Sleeves, Perfect for Party Wear</t>
        </is>
      </c>
      <c r="L154" s="49" t="inlineStr">
        <is>
          <t>Purple United Kids Girl Dress in Light Blue with Tiered Striped &amp; Soft Fabric</t>
        </is>
      </c>
      <c r="M154" s="51" t="inlineStr">
        <is>
          <t>* PREMIUM COMFORT STYLE: Kids Girls Dress crafted in soft breathable fabric with striped design, flutter sleeves, and tiered flare silhouette for stylish comfort during parties, outings, and everyday wear.
* RELAXED EASY FIT: Designed with a comfortable relaxed fit, round neckline, and easy back button closure for quick dressing and free movement. Ideal dress for girls across growing age groups.
* LONG-LASTING QUALITY: Made with quality stitching, smooth seams, and durable lightweight fabric that helps maintain shape, softness, and colour freshness after repeated wear and washing.
* STRIPED TIERED LOOK: Features elegant stripe detailing, flutter sleeves, and layered tiered hem for a graceful premium look. Perfect Kids Girls Dress for birthdays, vacations, and summer occasions.
* EASY CARE: Gentle machine wash or hand wash recommended. Dry in shade and avoid bleach for lasting finish. Package includes 1 Kids Girls Dress.</t>
        </is>
      </c>
      <c r="N154" s="48" t="inlineStr">
        <is>
          <t>Dress your little one in premium elegance with this Purple United Kids Girls Dress. Designed for stylish young girls, this beautiful party wear dress blends comfort, graceful movement, and modern charm, making it a perfect Kids Girls Dress for celebrations, outings, and everyday fashion moments.
Crafted from soft breathable lightweight fabric, this girls dress offers a smooth touch and airy comfort for long wear. The design features flutter sleeves, a round neckline, and convenient back button closure for easy dressing. Elegant stripe detailing enhances the premium look, while the tiered flared silhouette creates playful volume and movement. Quality stitching and neat seams help maintain shape after repeated use. The light colour gives a fresh and sophisticated finish, making this dress for girls a standout choice in kids wear collections.
This Kids Girls Dress is designed to deliver comfort, durability, and effortless style. Breathable fabric helps keep kids cool during warm weather, while its lightweight allows easy movement for active routines. Strong stitching ensures long-lasting wear, making it suitable for regular use and special occasions. The versatile design pairs beautifully with sandals, ballerinas, or sneakers for multiple styling options. Whether for parties or casual days, this western dress for girls keeps your child looking elegant and feeling comfortable.
Perfect for birthday parties, school functions, family gatherings, festive celebrations, vacations, park visits, and casual outings, this girls party wear dress suits multiple occasions. Pair it with cute accessories for a complete stylish look. A charming summer dress for girls ideal for travel and seasonal wear.
Choose the right size for a comfortable relaxed fit. Gentle machine wash or hand wash recommended. Wash with similar colours, dry in shade, and avoid bleach to maintain softness and colour freshness. Package includes 1 Purple United Kids Girls Dress, ready to brighten every occasion.</t>
        </is>
      </c>
    </row>
    <row r="155">
      <c r="A155" s="42" t="n"/>
      <c r="B155" s="34" t="inlineStr">
        <is>
          <t>PGDRSS003431</t>
        </is>
      </c>
      <c r="C155" s="34" t="inlineStr">
        <is>
          <t>APPAREL</t>
        </is>
      </c>
      <c r="D155" s="34" t="inlineStr">
        <is>
          <t>DRESS</t>
        </is>
      </c>
      <c r="E155" s="34" t="inlineStr">
        <is>
          <t>KIDS GIRLS</t>
        </is>
      </c>
      <c r="F155" s="34" t="inlineStr">
        <is>
          <t>LT. PINK</t>
        </is>
      </c>
      <c r="G155" s="34" t="inlineStr">
        <is>
          <t>PGTSHS003310-LT. PINK</t>
        </is>
      </c>
      <c r="H155" s="49" t="inlineStr">
        <is>
          <t>Purple United Kids Girls Dress | Striped Tiered Design | Flutter Sleeve Comfort | Breathable &amp; Soft Fabric | Light Pink | Casual Party Wear | Stylish Summer Outfit for Girls</t>
        </is>
      </c>
      <c r="I155" s="48" t="inlineStr">
        <is>
          <t>Kids Girls Pink Striped Dress</t>
        </is>
      </c>
      <c r="J155" s="49" t="inlineStr">
        <is>
          <t>Purple United Kids Girls Light Pink Tiered Striped Flutter Sleeve Comfort Party Wear Dress</t>
        </is>
      </c>
      <c r="K155" s="49" t="inlineStr">
        <is>
          <t>Kids Girls Dress in Light Pink with Tiered Stripes &amp; Flutter Sleeves, Perfect for Party Wear</t>
        </is>
      </c>
      <c r="L155" s="49" t="inlineStr">
        <is>
          <t>Purple United Kids Girl Dress in Light Pink with Tiered Striped &amp; Soft Fabric</t>
        </is>
      </c>
      <c r="M155" s="51" t="inlineStr">
        <is>
          <t>* PREMIUM COMFORT STYLE: Kids Girls Dress crafted in soft breathable fabric with striped design, flutter sleeves, and tiered flare silhouette for stylish comfort during parties, outings, and everyday wear.
* RELAXED EASY FIT: Designed with a comfortable relaxed fit, round neckline, and easy back button closure for quick dressing and free movement. Ideal dress for girls across growing age groups.
* LONG-LASTING QUALITY: Made with quality stitching, smooth seams, and durable lightweight fabric that helps maintain shape, softness, and colour freshness after repeated wear and washing.
* STRIPED TIERED LOOK: Features elegant stripe detailing, flutter sleeves, and layered tiered hem for a graceful premium look. Perfect Kids Girls Dress for birthdays, vacations, and summer occasions.
* EASY CARE: Gentle machine wash or hand wash recommended. Dry in shade and avoid bleach for lasting finish. Package includes 1 Kids Girls Dress.</t>
        </is>
      </c>
      <c r="N155" s="48" t="inlineStr">
        <is>
          <t>Dress your little one in premium elegance with this Purple United Kids Girls Dress. Designed for stylish young girls, this beautiful party wear dress blends comfort, graceful movement, and modern charm, making it a perfect Kids Girls Dress for celebrations, outings, and everyday fashion moments.
Crafted from soft breathable lightweight fabric, this girls dress offers a smooth touch and airy comfort for long wear. The design features flutter sleeves, a round neckline, and convenient back button closure for easy dressing. Elegant stripe detailing enhances the premium look, while the tiered flared silhouette creates playful volume and movement. Quality stitching and neat seams help maintain shape after repeated use. The light colour gives a fresh and sophisticated finish, making this dress for girls a standout choice in kids wear collections.
This Kids Girls Dress is designed to deliver comfort, durability, and effortless style. Breathable fabric helps keep kids cool during warm weather, while its lightweight allows easy movement for active routines. Strong stitching ensures long-lasting wear, making it suitable for regular use and special occasions. The versatile design pairs beautifully with sandals, ballerinas, or sneakers for multiple styling options. Whether for parties or casual days, this western dress for girls keeps your child looking elegant and feeling comfortable.
Perfect for birthday parties, school functions, family gatherings, festive celebrations, vacations, park visits, and casual outings, this girls party wear dress suits multiple occasions. Pair it with cute accessories for a complete stylish look. A charming summer dress for girls ideal for travel and seasonal wear.
Choose the right size for a comfortable relaxed fit. Gentle machine wash or hand wash recommended. Wash with similar colours, dry in shade, and avoid bleach to maintain softness and colour freshness. Package includes 1 Purple United Kids Girls Dress, ready to brighten every occasion.</t>
        </is>
      </c>
    </row>
    <row r="156">
      <c r="A156" s="42" t="n"/>
      <c r="B156" s="34" t="inlineStr">
        <is>
          <t>PGSHSS002834</t>
        </is>
      </c>
      <c r="C156" s="34" t="inlineStr">
        <is>
          <t>APPAREL</t>
        </is>
      </c>
      <c r="D156" s="34" t="inlineStr">
        <is>
          <t>SHORTS</t>
        </is>
      </c>
      <c r="E156" s="34" t="inlineStr">
        <is>
          <t>KIDS GIRLS</t>
        </is>
      </c>
      <c r="F156" s="34" t="inlineStr">
        <is>
          <t>RUST</t>
        </is>
      </c>
      <c r="G156" s="34" t="inlineStr">
        <is>
          <t>PGSHSS002834-RUST</t>
        </is>
      </c>
      <c r="H156" s="35" t="inlineStr">
        <is>
          <t>Purple United Kids Girls Shorts | Belted Waist | Utility Pocket Design | Comfortable Fit | Rust | Soft Cotton Slub Fabric | Everyday Wear Shorts for Girls | Casual Summer Kids Wear</t>
        </is>
      </c>
      <c r="I156" s="48" t="inlineStr">
        <is>
          <t>Kids Girls Rust Belted Shorts</t>
        </is>
      </c>
      <c r="J156" s="49" t="inlineStr">
        <is>
          <t>Purple United Kids Rust Pleated Front Comfortable Fit Everyday Wear Girls Shorts</t>
        </is>
      </c>
      <c r="K156" s="49" t="inlineStr">
        <is>
          <t>Kids Girls Shorts in Rust with Belted Waist &amp; Utility Pockets, Cotton Comfort for Daily Wear</t>
        </is>
      </c>
      <c r="L156" s="49" t="inlineStr">
        <is>
          <t>Purple United Kids Girls Shorts in Rust with Pleated Front &amp; Comfortable Fit</t>
        </is>
      </c>
      <c r="M156" s="51" t="inlineStr">
        <is>
          <t>* SOFT COTTON COMFORT: Crafted in premium cotton slub fabric, these Kids Girls Shorts offer breathable comfort, lightweight feel, and a soft touch, making them ideal shorts for girls for summer wear, playtime, and everyday use.
* RELAXED EASY FIT: Designed with a comfortable mid-rise waist and relaxed silhouette, these shorts for kids girls feature a belted waist for adjustable fit and ease of movement during active days.
* LONG-LASTING QUALITY: Made with strong stitching and durable cotton fabric, these girls shorts maintain shape, colour, and softness even after repeated washing and regular wear.
* UTILITY STYLE LOOK: Stylish rust colour with belted waist and functional utility pockets gives these kids shorts a modern, trendy look perfect for outings, travel, and casual summer styling.
* EASY MAINTENANCE: Machine wash cold with similar colours, dry in shade, and avoid bleach. Package includes 1 pair of Kids Girls Shorts designed for everyday comfort and versatile wear.</t>
        </is>
      </c>
      <c r="N156" s="48" t="inlineStr">
        <is>
          <t>Upgrade your child’s wardrobe with these Purple United Kids Girls Shorts in a stylish rust shade. Designed for modern young girls, these premium shorts for girls combine comfort, functionality, and trendy design, making them an essential kids girls shorts choice for summer wear, outings, and everyday casual styling.
Crafted from soft breathable cotton slub fabric, these kids shorts offer a lightweight feel with a textured premium finish. The design features a structured waistband with a stylish belt, front button closure with zip, and functional utility pockets for added convenience. The relaxed silhouette ensures ease of movement, while quality stitching and durable seams help maintain shape after repeated use. The rich rust colour enhances the overall aesthetic, making these shorts for girls a standout piece in kids wear collections.
These Kids Girls Shorts are designed to deliver comfort, durability, and versatile style. Breathable fabric keeps kids cool during warm weather, while the lightweight construction allows free movement for active play. The belted waist ensures a secure fit, and functional pockets add everyday practicality. Strong stitching enhances long-lasting wear, making them suitable for regular use. These cotton shorts for girls pair effortlessly with t-shirts, tops, or shirts, offering multiple styling options for different occasions.
Perfect for park visits, family outings, vacations, playdates, casual gatherings, and travel, these shorts for kids girls suit a variety of occasions. Pair them with casual tops or t-shirts for a relaxed summer look. A must-have piece for everyday kids wear and seasonal styling.
Choose the right size for a comfortable fit. Machine wash cold with similar colours, dry in shade, and avoid bleach to maintain fabric quality and colour. Package includes 1 pair of Purple United Kids Girls Shorts in rust, designed for everyday comfort and premium style.</t>
        </is>
      </c>
    </row>
    <row r="157">
      <c r="A157" s="42" t="n"/>
      <c r="B157" s="34" t="inlineStr">
        <is>
          <t>PGDNHS003384</t>
        </is>
      </c>
      <c r="C157" s="34" t="inlineStr">
        <is>
          <t>APPAREL</t>
        </is>
      </c>
      <c r="D157" s="34" t="inlineStr">
        <is>
          <t>DENIM</t>
        </is>
      </c>
      <c r="E157" s="34" t="inlineStr">
        <is>
          <t>KIDS GIRLS</t>
        </is>
      </c>
      <c r="F157" s="34" t="inlineStr">
        <is>
          <t>WHITE</t>
        </is>
      </c>
      <c r="G157" s="34" t="inlineStr">
        <is>
          <t>PGDNHS003384-WHITE</t>
        </is>
      </c>
      <c r="H157" s="49" t="inlineStr">
        <is>
          <t>Purple United Kids Girls Shorts | Premium White Denim | Stud Detail Design | Comfortable Fit | Soft Durable Fabric | Stylish Casual Wear | Everyday Kids Shorts for Girls</t>
        </is>
      </c>
      <c r="I157" s="48" t="inlineStr">
        <is>
          <t>Kids Girls White Denim Shorts</t>
        </is>
      </c>
      <c r="J157" s="49" t="inlineStr">
        <is>
          <t>Purple United Kids White Stud Detail Comfortable Fit Casual Wear Denim Girls Shorts</t>
        </is>
      </c>
      <c r="K157" s="49" t="inlineStr">
        <is>
          <t>Kids Girls Denim Shorts in White with Stud Detail &amp; Comfortable Fit for Daily Casual Wear</t>
        </is>
      </c>
      <c r="L157" s="49" t="inlineStr">
        <is>
          <t>Purple United Kids Girls Denim Shorts in White with Stud Detail &amp; Comfortable Fit</t>
        </is>
      </c>
      <c r="M157" s="51" t="inlineStr">
        <is>
          <t>* PREMIUM COMFORT &amp; STYLISH DESIGN: White denim shorts for girls crafted with soft, breathable fabric and subtle metal stud detailing, offering a perfect balance of comfort, durability, and modern everyday style.
* COMFORTABLE FIT WITH SECURE CLOSURE: Designed for kids girls with a structured waistband, belt loops, and button closure, ensuring a secure, adjustable, and comfortable fit for daily wear and active movement.
* DURABLE DENIM CONSTRUCTION: Made from high-quality denim with reinforced stitching, these girls shorts are built to last, maintaining shape, color, and finish even after repeated washing.
* MINIMAL STUD DETAIL FOR EVERYDAY STYLE: Clean white shorts for girls featuring elegant stud accents, perfect for casual outings, vacations, and versatile summer styling.
* EASY CARE &amp; PACKAGE INCLUDES: Machine wash cold with similar colors, do not bleach, tumble dry low. Includes 1 pair of girls white denim shorts designed for everyday comfort and long-lasting wear.</t>
        </is>
      </c>
      <c r="N157" s="48" t="inlineStr">
        <is>
          <t>Bring effortless style to your child’s wardrobe with Purple United Kids Girls Shorts in classic white denim. Designed for modern young girls, these premium kids shorts combine fashion-forward detailing with everyday comfort, making them a must-have shorts for girls for casual wear and summer styling.
Crafted from high-quality denim fabric, these kids girls shorts offer a soft yet structured feel for long-lasting comfort. The design includes a secure button closure with zip fly, belt loops, and a tailored fit that enhances mobility. Stylish metal stud detailing along the front adds a modern premium touch. The breathable fabric ensures comfort during warm days, while the durable construction maintains shape and finish after repeated wear. These shorts for kids girls are lightweight, easy to wear, and designed to support active lifestyles while keeping style intact.
These shorts for girls are thoughtfully designed to balance comfort, durability, and premium aesthetics. The breathable denim fabric keeps kids cool, while the structured fit ensures a polished look. Durable stitching enhances longevity, making them suitable for daily wear. The versatile white color allows easy pairing with tops, t-shirts, or shirts, making styling effortless. Whether for active play or casual outings, these girls shorts deliver comfort without compromising on style, making them an essential addition to any kids wardrobe.
Perfect for outings, vacations, playdates, casual events, and everyday wear, these kids girls shorts offer versatile styling options. Pair them with casual tees or stylish tops for a chic and comfortable look. Ideal for summer wear, travel, and relaxed occasions.
Select the right size for the best fit and comfort. Machine wash with similar colors, avoid bleach, and dry in shade to maintain fabric quality. Package includes 1 pair of Purple United Kids Girls Shorts, designed for premium comfort, durability, and everyday style.</t>
        </is>
      </c>
    </row>
    <row r="158">
      <c r="A158" s="42" t="n"/>
      <c r="B158" s="34" t="inlineStr">
        <is>
          <t>PGDRSS002865</t>
        </is>
      </c>
      <c r="C158" s="34" t="inlineStr">
        <is>
          <t>APPAREL</t>
        </is>
      </c>
      <c r="D158" s="34" t="inlineStr">
        <is>
          <t>DRESS</t>
        </is>
      </c>
      <c r="E158" s="34" t="inlineStr">
        <is>
          <t>KIDS GIRLS</t>
        </is>
      </c>
      <c r="F158" s="34" t="inlineStr">
        <is>
          <t>LAVENDER</t>
        </is>
      </c>
      <c r="G158" s="34" t="inlineStr">
        <is>
          <t>PGDRSS002865-LAVENDER</t>
        </is>
      </c>
      <c r="H158" s="49" t="inlineStr">
        <is>
          <t>Purple United Kids Girls Dress | Shirt Dress Style | Soft Cotton Fabric | Button Down Design | Lavender | Comfortable Fit | Casual Summer Wear for Girls | Everyday Dress for Girls</t>
        </is>
      </c>
      <c r="I158" s="48" t="inlineStr">
        <is>
          <t>Kids Girls Lavender Dress</t>
        </is>
      </c>
      <c r="J158" s="49" t="inlineStr">
        <is>
          <t>Purple United Kids Lavender Soft Cotton Button Down Casual Everyday Wear Girls Dress</t>
        </is>
      </c>
      <c r="K158" s="49" t="inlineStr">
        <is>
          <t>Kids Girls Dress in Lavender Cotton with Button Down Design for Casual Summer Wear</t>
        </is>
      </c>
      <c r="L158" s="49" t="inlineStr">
        <is>
          <t>Purple United Kids Girls Dress in Lavender Cotton with Button Down for Casual Wear</t>
        </is>
      </c>
      <c r="M158" s="51" t="inlineStr">
        <is>
          <t>* PREMIUM COTTON COMFORT &amp; SOFT FEEL: Crafted from breathable cotton fabric, this kids girls dress offers superior comfort and softness, making it ideal for all-day wear during warm summer days while keeping your child cool and relaxed.
* SMART FIT WITH EASY BUTTON CLOSURE: Designed with a relaxed silhouette and front button-down closure, this girls dress ensures easy wear and removal while providing a comfortable fit for active kids and growing girls.
* DURABLE FABRIC WITH QUALITY STITCHING: Made using high-quality cotton with reinforced stitching, this dress for girls ensures long-lasting durability, maintaining its shape, color, and finish even after multiple washes.
* STYLISH SHIRT DRESS WITH EMBELLISHED DETAIL: Features a modern shirt dress design with chest pockets and subtle embellishment detail, giving it a premium look perfect for casual outings, vacations, and summer styling.
* EASY CARE &amp; EVERYDAY WEAR ESSENTIAL: Machine wash cold with similar colors, do not bleach. Includes 1 kids girls dress designed for everyday wear, making it a versatile addition to your child’s wardrobe.</t>
        </is>
      </c>
      <c r="N158" s="48" t="inlineStr">
        <is>
          <t>Upgrade your child’s wardrobe with this stylish kids girls dress in a refreshing shade, designed to bring together comfort and modern fashion. This cotton shirt dress is perfect for young girls who love easy, breezy outfits that look effortlessly stylish.
Made from soft and breathable cotton fabric, this dress features a classic shirt collar, front button-down closure, and short sleeves for enhanced comfort. The lightweight material ensures excellent airflow, while the structured stitching and premium finish add durability and long-lasting wear.
This girls dress is designed to offer maximum comfort without compromising on style. The relaxed fit allows free movement, making it perfect for active kids. The soft fabric feels gentle on the skin, while the durable construction ensures it stays in great condition even after repeated use.
Perfect for multiple occasions, this dress for girls works well for casual outings, family gatherings, vacations, and everyday wear. The elegant color and minimal embellishment make it suitable for both playful and slightly dressy moments.
Pair this summer dress for girls with sneakers or sandals for a complete look. Easy to maintain, simply machine wash with similar colors. This package includes 1 kids girls dress, making it a must-have staple for every girl's wardrobe.</t>
        </is>
      </c>
    </row>
    <row r="159">
      <c r="A159" s="42" t="n"/>
      <c r="B159" s="34" t="inlineStr">
        <is>
          <t>PGLWJW002202</t>
        </is>
      </c>
      <c r="C159" s="34" t="inlineStr">
        <is>
          <t>APPAREL</t>
        </is>
      </c>
      <c r="D159" s="34" t="inlineStr">
        <is>
          <t>LOWER</t>
        </is>
      </c>
      <c r="E159" s="34" t="inlineStr">
        <is>
          <t>KIDS GIRLS</t>
        </is>
      </c>
      <c r="F159" s="34" t="inlineStr">
        <is>
          <t>MAROON</t>
        </is>
      </c>
      <c r="G159" s="34" t="inlineStr">
        <is>
          <t>PGLWJW002202-MAROON</t>
        </is>
      </c>
      <c r="H159" s="49" t="inlineStr">
        <is>
          <t>Purple United Kids Girls Lower | Sporty Athleisure | Side Stripes &amp; Snap Button Detail | Maroon | Lower for Girls with Soft Fabric &amp; Elastic Waistband | Stylish Kids Girls Lowers for Active Wear</t>
        </is>
      </c>
      <c r="I159" s="48" t="inlineStr">
        <is>
          <t>Girls Maroon Regular Fit Lower</t>
        </is>
      </c>
      <c r="J159" s="49">
        <f>IFERROR(__xludf.DUMMYFUNCTION("AI(""Fill an appropriate value for this cell based on the table context"")"),"Girls Maroon Lower with Comfortable Everyday Fit")</f>
        <v/>
      </c>
      <c r="K159" s="49" t="inlineStr">
        <is>
          <t>Kids Girls Lower in Maroon with Soft Fabric, Elasticated Waist &amp; Comfortable Everyday Fit</t>
        </is>
      </c>
      <c r="L159" s="49" t="inlineStr">
        <is>
          <t>Purple United Kids Girls Lower in Maroon with Soft Fabric &amp; Elasticated Waist</t>
        </is>
      </c>
      <c r="M159" s="51" t="inlineStr">
        <is>
          <t>* PREMIUM COMFORT &amp; STYLE: Crafted in soft, breathable and skin-friendly fabric, this lower for girls offers all-day comfort with a smooth feel. Designed with sporty side stripes and snap button detailing for a stylish athleisure look in everyday wear.
* COMFORTABLE FIT &amp; EASY MOVEMENT: Designed for kids girls lowers with a relaxed fit, elastic waistband and adjustable drawstring ensures a secure fit while allowing easy movement and flexibility for active kids.
* DURABLE &amp; LONG-LASTING QUALITY: Made with high-quality fabric and strong stitching, these lowers for girls maintain shape, colour and softness even after repeated washing and regular use.
* SPORTY ATHLEISURE DESIGN: Features a rich maroon colour with contrast side stripes and snap button detailing, giving this lower for girls a modern sporty look perfect for casual wear, travel and playtime.
* EASY CARE &amp; PACKAGE INCLUDES: Machine wash cold with similar colours, do not bleach, and dry in shade for best results. Package includes 1 lower for girls designed for comfort, durability and everyday style.</t>
        </is>
      </c>
      <c r="N159" s="48" t="inlineStr">
        <is>
          <t>Purple United Kids presents a premium lower for girls designed for modern, active lifestyles. Crafted for kids girls who love comfort and style, this maroon athleisure piece blends sporty aesthetics with everyday wearability. A perfect addition to kids girls lowers collection for effortless movement and confident style.
This lower for girls is made from soft &amp; breathable fabric that ensures comfort throughout the day. It features an elastic waistband with adjustable drawstring closure for a secure and flexible fit. The lightweight construction supports ease of movement, while the smooth inner finish enhances comfort on sensitive skin. Designed with contrast side stripes, it adds a sporty appeal, while premium snap button detailing on the sides elevates the overall look. These kids girls lowers are thoughtfully designed to make them suitable for daily wear.
Designed to support active kids, these lowers for girls offer excellent comfort and flexibility for all-day wear. The breathable fabric keeps kids cool, while the stretch-friendly design allows unrestricted movement during play and activities. Durable stitching ensures long-lasting performance even after repeated washes These kids girls lowers are ideal for parents looking for reliable, comfortable and stylish lower for girls that can handle both active play and relaxed moments with ease.
Perfect for multiple occasions, this lower for girls is ideal for casual outings, playtime, travel, school activities and relaxed days at home. Pair it with t-shirts, tops or sweatshirts for a trendy everyday look. Whether it’s a park visit, family outing or lounging at home, these kids girls lowers offer the right blend of comfort and style.
Choose the right size for the best fit and comfort. Machine wash with similar colours, avoid bleach and dry in shade to maintain fabric quality and colour vibrancy. Package includes 1 Purple United Kids maroon lower for girls. Upgrade your child’s wardrobe with premium kids girls lowers.</t>
        </is>
      </c>
    </row>
    <row r="160">
      <c r="A160" s="42" t="n"/>
      <c r="B160" s="34" t="inlineStr">
        <is>
          <t>PGTROW002205</t>
        </is>
      </c>
      <c r="C160" s="34" t="inlineStr">
        <is>
          <t>APPAREL</t>
        </is>
      </c>
      <c r="D160" s="34" t="inlineStr">
        <is>
          <t>TROUSER</t>
        </is>
      </c>
      <c r="E160" s="34" t="inlineStr">
        <is>
          <t>KIDS GIRLS</t>
        </is>
      </c>
      <c r="F160" s="34" t="inlineStr">
        <is>
          <t>LT. ORANGE</t>
        </is>
      </c>
      <c r="G160" s="34" t="inlineStr">
        <is>
          <t>PGTROW002205-LT. ORANGE</t>
        </is>
      </c>
      <c r="H160" s="49" t="inlineStr">
        <is>
          <t>Purple United Kids Girls Trousers | Premium Soft Fabric | Cargo Pockets Style | Wide Leg Fit with Belt &amp; Utility Pocket Design | Light Orange | Comfortable Kids Trouser for Girls for Daily Wear</t>
        </is>
      </c>
      <c r="I160" s="48" t="inlineStr">
        <is>
          <t>Girls Regular Fit Trousers</t>
        </is>
      </c>
      <c r="J160" s="49" t="inlineStr">
        <is>
          <t>Purple United Kids Girls Light Orange Wide Leg Cargo Pockets Belt Soft Comfort Fit Trouser</t>
        </is>
      </c>
      <c r="K160" s="49" t="inlineStr">
        <is>
          <t>Kids Girls Trousers in Orange with Wide Leg, Cargo Pockets &amp; Belt, Soft Premium Comfort Fit</t>
        </is>
      </c>
      <c r="L160" s="49" t="inlineStr">
        <is>
          <t>Purple United Kids Girls Trousers in Light Orange with Wide Leg and Cargo Pocket</t>
        </is>
      </c>
      <c r="M160" s="51" t="inlineStr">
        <is>
          <t>* SOFT &amp; DURABLE COMFORT: Crafted from high-quality cotton blend, these Kids Girls Trousers offer superior comfort and breathability. Designed for all-day wear, the fabric feels soft on skin while maintaining structure, making it ideal for active kids and daily styling.
* DESIGNED FOR GROWING KIDS: These trousers for girls feature a comfortable high-rise elasticated waistband with a matching belt for adjustable fit. Designed to provide ease of movement and a relaxed wide-leg silhouette suitable for everyday wear.
* STRONG STITCHING &amp; LONG-LASTING WEAR: Built with reinforced stitching and premium fabric quality, these girls trousers ensure durability and shape retention. Perfect for regular use, maintaining color and finish even after multiple washes.
* CARGO POCKETS &amp; MODERN SILHOUETTE: Featuring functional cargo pockets and a wide-leg cut, these trousers for girls deliver a contemporary fashion-forward look. The vibrant orange shade enhances style, making it a standout piece in kids girls clothing.
* PRACTICAL DAILY WEAR: Machine wash with similar colors, do not bleach. Easy to maintain for everyday use. Package includes 1 Kids Girls Trousers with matching belt from Purple United, combining premium quality with modern design.</t>
        </is>
      </c>
      <c r="N160" s="48" t="inlineStr">
        <is>
          <t>Purple United Kids introduces premium Kids Girls Trousers designed for stylish young trendsetters. These trousers for girls combine modern cargo styling with a vibrant orange tone, making them perfect for kids who love fashionable yet comfortable outfits. A must-have in girls trousers collections for everyday premium wear.
Crafted from a high-quality cotton blend, these Kids Girls Trousers ensure breathability and comfort. The design features a high-rise elasticated waistband with a stylish matching belt for adjustable fit. Functional cargo pockets add utility and style, while the wide-leg silhouette offers a modern look. The fabric is lightweight yet durable, ensuring long-lasting wear. Designed with precision stitching and attention to detail, these trousers for girls provide both structure and flexibility, making them ideal for active kids and daily use.
These girls trousers are designed to deliver superior comfort, durability, and style. The breathable fabric keeps kids comfortable throughout the day, while the relaxed fit allows easy movement. Durable construction ensures resistance to wear and tear, making them suitable for everyday use. The cargo design adds a trendy touch, helping kids stand out effortlessly. Whether paired with tops or tees, these trousers for girls enhance versatility and provide a premium look suitable for multiple styling options.
Perfect for casual outings, school activities, travel, and playtime, these Kids Girls Trousers are versatile for every occasion. The stylish cargo design makes them suitable for both everyday wear and semi-casual events. Pair with tops or tees to create fashionable looks for kids girls clothing collections.
Refer to the size chart for best fit. Machine wash with similar colors and avoid bleach to maintain fabric quality. Package includes 1 Kids Girls Trousers with matching belt from Purple United, designed to deliver premium comfort, durability, and modern style for everyday wear.</t>
        </is>
      </c>
    </row>
    <row r="161">
      <c r="A161" s="42" t="n"/>
      <c r="B161" s="34" t="inlineStr">
        <is>
          <t>PGLWLW002321</t>
        </is>
      </c>
      <c r="C161" s="34" t="inlineStr">
        <is>
          <t>APPAREL</t>
        </is>
      </c>
      <c r="D161" s="34" t="inlineStr">
        <is>
          <t>LOWER</t>
        </is>
      </c>
      <c r="E161" s="34" t="inlineStr">
        <is>
          <t>KIDS GIRLS</t>
        </is>
      </c>
      <c r="F161" s="34" t="inlineStr">
        <is>
          <t>PEACH</t>
        </is>
      </c>
      <c r="G161" s="34" t="inlineStr">
        <is>
          <t>PGLWLW002321-PEACH</t>
        </is>
      </c>
      <c r="H161" s="49" t="inlineStr">
        <is>
          <t>Purple United Kids Girls Lower | Minimal Premium Style | Soft Breathable Comfort Fabric | Wide Leg | Peach | Elastic Waistband with Drawstring | Stylish Kids Girls Lowers for Summer Wear Comfort</t>
        </is>
      </c>
      <c r="I161" s="48" t="inlineStr">
        <is>
          <t>Girls Peach Wide Leg Lower</t>
        </is>
      </c>
      <c r="J161" s="49" t="inlineStr">
        <is>
          <t>Purple United Kids Girls Peach Soft Cotton Elasticated Waistband Comfortable Fit Lower</t>
        </is>
      </c>
      <c r="K161" s="49" t="inlineStr">
        <is>
          <t>Kids Girls Lower in Peach with Elasticated Waist, Soft Breathable Fabric &amp; Lightweight Design</t>
        </is>
      </c>
      <c r="L161" s="49" t="inlineStr">
        <is>
          <t>Purple United Kids Girls Lower in Peach with Elasticated Waist &amp; Soft Fabric</t>
        </is>
      </c>
      <c r="M161" s="51" t="inlineStr">
        <is>
          <t>* PREMIUM FABRIC &amp; SOFT COMFORT: Crafted from high-quality breathable fabric, this lower for girls delivers ultra-soft comfort with a smooth touch on skin. Designed for all-day wear, making it an ideal summer wear for girls with a premium finish.
* RELAXED FIT &amp; EASY MOVEMENT: Designed as kids girls lowers with a wide leg silhouette, elastic waistband and adjustable drawstring ensures a flexible, secure fit while allowing free movement for active and growing kids.
* DURABLE &amp; LONG-LASTING QUALITY: Made with strong stitching and premium fabric construction, these lowers for girls maintain shape, softness and colour even after repeated washes, ensuring long-lasting wear.
* ELEGANT DESIGN &amp; MODERN STYLE: Features a soft peach tone with contrast piping detail and minimal branding, offering a refined, premium look. Perfect lower for girls who prefer stylish yet comfortable everyday fashion.
* EASY CARE &amp; PACKAGE CONTENT: Machine wash cold with similar colours, do not bleach and dry in shade for best results. Package includes 1 lower for girls designed for comfort, durability and elevated everyday style.</t>
        </is>
      </c>
      <c r="N161" s="48" t="inlineStr">
        <is>
          <t>Purple United Kids brings a perfect blend of comfort and contemporary style with this premium lower for girls. Designed in a soft peach shade with a modern wide-leg silhouette, these kids girls lowers are ideal for young trendsetters who value both comfort and fashion in everyday wear.
Made from breathable, skin-friendly fabric, this lower for girls ensures maximum comfort during long hours of wear. The wide-leg design enhances airflow, making it perfect summer wear for girls. It features an elastic waistband with adjustable drawstring for a customized fit. The contrast piping detail adds a structured and stylish look, while the soft inner finish ensures irritation-free wear. Lightweight yet durable, these lowers are thoughtfully crafted to balance comfort, flexibility and premium appeal.
These lowers for girls are designed to provide superior comfort without compromising on style. The relaxed wide-leg fit allows easy movement, making them perfect for active kids. The breathable fabric keeps kids cool during warmer days, while the premium construction ensures durability. Its versatile design makes it easy to pair with t-shirts, tops or casual wear, making it a go-to wardrobe essential. A perfect combination of fashion-forward styling and everyday practicality.
Perfect for casual outings, playtime, travel, or lounging, this lower for girls fits seamlessly into every occasion. Whether it's a day at school, a weekend outing, or relaxed indoor wear, these kids girls lowers offer comfort and effortless style. Ideal summer wear for girls who want breathable and stylish clothing options.
Upgrade your child’s wardrobe with Purple United Kids premium lower for girls designed for comfort and style. Pair it with trendy tops or casual tees for a complete look. Machine wash cold, wash with similar colours, and dry in shade to maintain fabric quality. Package includes 1 kids girls lowers crafted for durability, comfort and modern style.</t>
        </is>
      </c>
    </row>
    <row r="162">
      <c r="A162" s="42" t="n"/>
      <c r="B162" s="34" t="inlineStr">
        <is>
          <t>PBLWLW001910</t>
        </is>
      </c>
      <c r="C162" s="34" t="inlineStr">
        <is>
          <t>APPAREL</t>
        </is>
      </c>
      <c r="D162" s="34" t="inlineStr">
        <is>
          <t>LOWER</t>
        </is>
      </c>
      <c r="E162" s="34" t="inlineStr">
        <is>
          <t>KIDS BOYS</t>
        </is>
      </c>
      <c r="F162" s="34" t="inlineStr">
        <is>
          <t>BROWN</t>
        </is>
      </c>
      <c r="G162" s="34" t="inlineStr">
        <is>
          <t>PBLWLW001910-BROWN</t>
        </is>
      </c>
      <c r="H162" s="49" t="inlineStr">
        <is>
          <t>Purple United Kids Boys Lower | Minimal Solid Design | Soft Breathable Fabric | Wide Leg Style | Brown | Elastic Waist Comfort Fit | Premium Summer Wear Kids Lower for Boys</t>
        </is>
      </c>
      <c r="I162" s="48" t="inlineStr">
        <is>
          <t>Kids Boys Brown Comfort Lower</t>
        </is>
      </c>
      <c r="J162" s="49" t="inlineStr">
        <is>
          <t>Purple United Kids Boys Brown Wide Leg Contrast Panels Soft Fabric Comfortable Fit Lower</t>
        </is>
      </c>
      <c r="K162" s="49" t="inlineStr">
        <is>
          <t>Kids Boys Lower in Brown with Wide Leg, Contrast Panels &amp; Soft Fabric, Everyday Comfortable Fit</t>
        </is>
      </c>
      <c r="L162" s="49" t="inlineStr">
        <is>
          <t>Purple United Kids Boys Lower in Brown with Wide Leg, Contrast Panels &amp; Soft Fabric</t>
        </is>
      </c>
      <c r="M162" s="51" t="inlineStr">
        <is>
          <t>* SOFT BREATHABLE COMFORT: Crafted in soft breathable fabric, this kids boys lower delivers lightweight comfort and smooth feel, making it ideal for daily wear, playtime, and summer wear for boys with easy movement.
* RELAXED EASY FIT: Designed with a relaxed wide leg fit and elastic waistband, this kids boys lower offers a secure yet flexible fit, ensuring comfort and ease of movement for growing kids.
* LONG-LASTING QUALITY:  Made with high-quality fabric and strong stitching, these lowers for boys maintain shape, colour and softness even after repeated washing and regular wear.
* MODERN SPORTY LOOK: Features a rich brown tone with contrast side panels, giving this kids boys lower a clean sporty look perfect for casual wear, travel, and everyday styling.
* EASY MAINTENANCE: Machine wash cold with similar colours, do not bleach, and dry in shade for best results. Package includes 1 kids boys lower designed for comfort, durability, and everyday use.</t>
        </is>
      </c>
      <c r="N162" s="48" t="inlineStr">
        <is>
          <t>Upgrade everyday style with this kids boys lower in a rich brown shade, designed for modern active kids. Combining comfort and minimal sporty design, this lower for boys is a must-have for daily wear, offering a perfect balance of style, flexibility, and all-day ease for growing kids.
Crafted from soft, breathable and skin-friendly fabric, this kids boys lower ensures maximum comfort throughout the day. It features an elastic waistband for a secure and flexible fit, allowing easy wear and removal. The wide leg silhouette enhances airflow and comfort, while contrast side panels add a sporty touch. Lightweight yet durable, the fabric supports unrestricted movement, making it ideal for active routines. The smooth inner finish prevents irritation, while strong stitching ensures long-lasting performance. Designed for everyday wear, these lowers for boys combine functionality with a clean and premium look.
This lower for boys is built to deliver superior comfort, durability, and style. The breathable fabric keeps kids cool during warm weather, while the relaxed fit allows free movement for play, sports, and daily activities. Durable construction ensures the garment retains its shape and colour after multiple washes. Its versatile design makes it easy to pair with multiple styling options. Ideal for both active and relaxed moments, these kids boys lowers provide a perfect blend of performance and everyday fashion.
Perfect for casual outings, school activities, playtime, travel, and lounging, this kids boys lower suits a variety of occasions. Whether heading to the park, attending casual events, or relaxing at home, it offers comfort and effortless style. A great choice for summer wear for boys and daily use.
Choose the right size for the best fit and comfort. Machine wash with similar colours, avoid bleach, and dry in shade to maintain fabric quality and colour vibrancy. Package includes 1 kids boys lower designed for comfort, durability, and everyday wear.</t>
        </is>
      </c>
    </row>
    <row r="163">
      <c r="A163" s="42" t="n"/>
      <c r="B163" s="34" t="inlineStr">
        <is>
          <t>PBTROW001945</t>
        </is>
      </c>
      <c r="C163" s="34" t="inlineStr">
        <is>
          <t>APPAREL</t>
        </is>
      </c>
      <c r="D163" s="34" t="inlineStr">
        <is>
          <t>TROUSER</t>
        </is>
      </c>
      <c r="E163" s="34" t="inlineStr">
        <is>
          <t>KIDS BOYS</t>
        </is>
      </c>
      <c r="F163" s="34" t="inlineStr">
        <is>
          <t>DK. BEIGE</t>
        </is>
      </c>
      <c r="G163" s="34" t="inlineStr">
        <is>
          <t>PBTROW001945-DK. BEIGE</t>
        </is>
      </c>
      <c r="H163" s="49" t="inlineStr">
        <is>
          <t>Purple United Kids Boys Trousers | Solid Cotton Fabric | Regular Fit | Smart Casual Design | Durable Stitching | Everyday Comfort | Dark Beige | Stylish Trousers For Boys</t>
        </is>
      </c>
      <c r="I163" s="48" t="inlineStr">
        <is>
          <t>Kids Boys Solid Casual Trouser</t>
        </is>
      </c>
      <c r="J163" s="49" t="inlineStr">
        <is>
          <t>Purple United Kids Boys Dark Beige Soft Breathable Fabric Comfortable Regular Fit Trousers</t>
        </is>
      </c>
      <c r="K163" s="49" t="inlineStr">
        <is>
          <t>Kids Boys Trousers in Dark Beige with Soft Breathable Fabric &amp; Comfortable Regular Fit</t>
        </is>
      </c>
      <c r="L163" s="49" t="inlineStr">
        <is>
          <t>Purple United Kids Boys Trousers in Dark Beige with Soft Fabric &amp; Regular Fit</t>
        </is>
      </c>
      <c r="M163" s="51" t="inlineStr">
        <is>
          <t>* PREMIUM FABRIC &amp; COMFORT: Premium cotton-rich fabric ensures breathable comfort and a soft touch, making these kids boys trousers ideal for all-day wear. Designed for modern kids, it blends structured style with lightweight ease.
* SMART REGULAR FIT: Tailored in a regular fit with a secure button closure and waistband support, these trousers for boys offer a structured yet comfortable fit, perfect for growing kids and everyday movement.
* STRONG BUILD QUALITY: Crafted with durable stitching and high-quality fabric, these boys cotton trousers maintain shape, colour, and finish even after repeated washes, ensuring long-lasting wear.
* MINIMAL SMART CASUAL STYLE: Solid dark beige tone with clean lines and functional pockets delivers a refined casual look. These boys casual trousers are perfect for both relaxed and semi-formal occasions.
* EASY MAINTENANCE: Machine wash with similar colours, avoid bleach, and dry in shade to retain quality. Package includes 1 trousers for kids boys designed for style, comfort, and durability.</t>
        </is>
      </c>
      <c r="N163" s="48" t="inlineStr">
        <is>
          <t>Upgrade your child’s wardrobe with these premium kids boys trousers in a refined DK beige shade. Designed for modern style and everyday comfort, these trousers for boys combine structured tailoring with relaxed wearability, making them a versatile essential for active and style-conscious kids.
Made from high-quality cotton-rich fabric, these boys cotton trousers provide excellent breathability and comfort. The structured waistband with button closure ensures a secure fit, while the regular fit silhouette offers ease of movement. Functional pockets add utility, and the clean stitching enhances durability. The fabric is lightweight yet sturdy, making it suitable for extended wear. Designed with attention to detail, these trousers maintain a premium look with a smooth finish and refined texture. Ideal for daily wear, these trousers for kids boys combine comfort with a polished aesthetic.
These casual trousers for boys deliver the perfect balance of comfort, durability, and style. The breathable fabric keeps kids cool throughout the day, while the structured fit ensures a neat appearance. Durable construction allows long-term use without compromising on shape or colour. Easy to style with t-shirts, shirts, or jackets, these boys trousers offer multiple outfit combinations. Whether for active days or relaxed outings, they provide both flexibility and a smart look, making them a dependable addition to any wardrobe.
Perfect for casual outings, family gatherings, school events, and everyday wear, these trousers for boys are designed for versatility. Their clean and smart design makes them suitable for both relaxed and semi-formal settings, ensuring your child looks stylish and comfortable at all times.
Select the right size for the best fit and comfort. Machine wash with similar colours, avoid bleach, and dry in shade to maintain fabric quality and colour. Package includes 1 kids boys trousers crafted for durability, comfort, and everyday premium wear.</t>
        </is>
      </c>
    </row>
    <row r="164">
      <c r="A164" s="42" t="n"/>
      <c r="B164" s="34" t="inlineStr">
        <is>
          <t>PGTROW002119</t>
        </is>
      </c>
      <c r="C164" s="34" t="inlineStr">
        <is>
          <t>APPAREL</t>
        </is>
      </c>
      <c r="D164" s="34" t="inlineStr">
        <is>
          <t>TROUSER</t>
        </is>
      </c>
      <c r="E164" s="34" t="inlineStr">
        <is>
          <t>KIDS GIRLS</t>
        </is>
      </c>
      <c r="F164" s="34" t="inlineStr">
        <is>
          <t>BROWN</t>
        </is>
      </c>
      <c r="G164" s="34" t="inlineStr">
        <is>
          <t>PGTROW002119-BROWN</t>
        </is>
      </c>
      <c r="H164" s="49" t="inlineStr">
        <is>
          <t>Purple United Kids Girls Trousers | Wide Leg Fit | Tie-Up Waist Detail | Premium Fabric | Soft &amp; Breathable Comfort | Stylish Casual Wear | Durable Stitching | Brown | Trousers For Girls</t>
        </is>
      </c>
      <c r="I164" s="48" t="inlineStr">
        <is>
          <t>Girls Brown Wide Leg Trouser</t>
        </is>
      </c>
      <c r="J164" s="49" t="inlineStr">
        <is>
          <t>Purple United Kids Girls Brown Tie-Up Waist Soft Fabric Comfortable Wide Leg Fit Trousers</t>
        </is>
      </c>
      <c r="K164" s="49" t="inlineStr">
        <is>
          <t>Kids Girls Trousers in Brown with Tie-Up Waist, Soft Fabric &amp; Comfortable Wide Leg Fit</t>
        </is>
      </c>
      <c r="L164" s="49" t="inlineStr">
        <is>
          <t>Purple United Kids Girls Trousers in Brown with Tie-Up Waist &amp; Wide Leg Fit</t>
        </is>
      </c>
      <c r="M164" s="51" t="inlineStr">
        <is>
          <t>* PREMIUM COMFORT FABRIC: Premium trousers for girls crafted from soft, breathable fabric with a stylish tie-up waist and wide leg silhouette, offering superior comfort, lightweight feel, and a modern elevated look for everyday wear.
* RELAXED WIDE LEG FIT: Designed for girls with a relaxed wide leg fit and adjustable waistband for a secure yet flexible fit; allows easy movement and ensures all-day comfort for growing kids.
* LONG-LASTING QUALITY: Made with high-quality fabric and reinforced stitching to maintain shape, color, and smooth texture even after repeated washing and regular wear.
* ELEGANT CASUAL STYLE: Chic brown trousers for girls with tie-up waist detail and minimal premium finish, perfect for casual outings, travel, and everyday stylish wear.
* EASY MAINTENANCE: Machine wash with similar colors, do not bleach, and dry in shade. Package includes 1 pair of trousers for girls designed for comfort and durability.</t>
        </is>
      </c>
      <c r="N164" s="48" t="inlineStr">
        <is>
          <t>Step into effortless style with Purple United’s premium trousers for girls, designed to bring together modern fashion and everyday comfort. These elegant brown trousers are perfect for young trendsetters who love a blend of style, confidence, and ease in their wardrobe.
Crafted from high-quality, soft-touch fabric, these girls trousers feature a breathable construction that ensures all-day comfort. The wide leg silhouette offers a relaxed fit, while the stylish tie-up waist and zipper closure provide both functionality and a fashionable edge. Lightweight yet durable, these trousers are ideal for regular wear.
These trousers for girls are designed to deliver superior comfort, flexibility, and durability. The relaxed fit allows free movement, making them perfect for active kids, while the premium fabric ensures long-lasting wear. The stylish design enhances overall appearance, making it a standout piece in any wardrobe.
Perfect for casual outings, family gatherings, vacations, and everyday wear, these girls trousers can be styled effortlessly with tops, tees, or shirts. Whether it's a day at the park or a special outing, they offer versatility and chic appeal.
Upgrade your child’s wardrobe with these stylish trousers for girls. Please refer to the size chart for the best fit. Machine wash with similar colors. Package includes one premium pair of girls trousers designed for comfort and style.</t>
        </is>
      </c>
    </row>
    <row r="165">
      <c r="A165" s="42" t="n"/>
      <c r="B165" s="34" t="inlineStr">
        <is>
          <t>PGTROW002324</t>
        </is>
      </c>
      <c r="C165" s="34" t="inlineStr">
        <is>
          <t>APPAREL</t>
        </is>
      </c>
      <c r="D165" s="34" t="inlineStr">
        <is>
          <t>TROUSER</t>
        </is>
      </c>
      <c r="E165" s="34" t="inlineStr">
        <is>
          <t>KIDS GIRLS</t>
        </is>
      </c>
      <c r="F165" s="34" t="inlineStr">
        <is>
          <t>OLIVE</t>
        </is>
      </c>
      <c r="G165" s="34" t="inlineStr">
        <is>
          <t>PGTROW002324-OLIVE</t>
        </is>
      </c>
      <c r="H165" s="49" t="inlineStr">
        <is>
          <t>Purple United Kids Girls Trousers | Premium Paperbag Waist &amp; Wide Leg Style | Soft Breathable Fabric | Olive | Relaxed Fit Stylish Trouser for Girls with Button Detail</t>
        </is>
      </c>
      <c r="I165" s="48" t="inlineStr">
        <is>
          <t>Girls Olive Casual Trousers</t>
        </is>
      </c>
      <c r="J165" s="49" t="inlineStr">
        <is>
          <t>Purple United Kids Girls Olive Wide Leg Paperbag Waist Soft Comfortable Fit Trousers</t>
        </is>
      </c>
      <c r="K165" s="49" t="inlineStr">
        <is>
          <t>Kids Girls Trousers in Olive with Wide Leg, Paperbag Waist &amp; Soft Comfortable Premium Fit</t>
        </is>
      </c>
      <c r="L165" s="49" t="inlineStr">
        <is>
          <t>Purple United Kids Girls Trousers in Olive with Paperbag Waist &amp; Comfortable Fit</t>
        </is>
      </c>
      <c r="M165" s="51" t="inlineStr">
        <is>
          <t>* PREMIUM WAIST DESIGN: Premium trousers for girls featuring a stylish paperbag waist with button detailing, crafted from soft breathable fabric for elevated comfort, modern silhouette, and a refined premium look by Purple United.
* RELAXED WIDE LEG FIT: Designed as trousers for girls with a relaxed wide leg silhouette and elasticated waistband ensuring a flexible, secure fit; ideal for everyday comfort and easy movement for growing kids.
* HIGH QUALITY FABRIC BUILD: Made using durable premium fabric with strong stitching and long-lasting finish that maintains structure, color richness, and softness even after repeated washing and regular use.
* ELEVATED CASUAL STYLE: Elegant girls trousers with minimal branding, button accents, and clean finish, perfect for casual outings, travel wear, and smart everyday styling with a premium fashion appeal.
* EASY CARE ESSENTIAL: Machine wash with similar colors, do not bleach, dry in shade. Package includes 1 premium trousers for girls designed by Purple United for comfort, durability, and style.</t>
        </is>
      </c>
      <c r="N165" s="48" t="inlineStr">
        <is>
          <t>Discover elevated everyday fashion with Purple United Kids Girls Trousers, designed for young trendsetters who value comfort and style. These wide leg trousers for girls blend modern design with a premium finish, making them perfect for girls who love effortless fashion. Crafted for all-day wear, these trousers bring together confidence, comfort, and contemporary aesthetics.
These trousers for girls are made from high-quality breathable fabric that feels soft on the skin while ensuring durability. Designed with a paperbag waist and elasticated waistband, they provide a secure yet flexible fit. The wide leg silhouette enhances movement, while button detailing adds a refined touch. Lightweight construction ensures ease of wear, making these girls trousers ideal for daily use.
Built for comfort and style, these trousers for girls offer a relaxed fit that allows free movement throughout the day. The premium fabric maintains its shape and color after multiple washes, ensuring long-lasting wear. The breathable material keeps kids comfortable in all seasons, while the stylish wide leg design adds a modern, fashion-forward appeal to any outfit.
Perfect for multiple occasions, these girls trousers are ideal for casual outings, family gatherings, school events, and weekend activities. Pair them with t-shirts, tops, or shirts for a versatile look that works for playtime, travel, or semi-formal settings. These trousers for girls are designed to transition effortlessly from day to evening wear.
Upgrade your child’s wardrobe with these premium trousers for girls from Purple United. Available in multiple sizes, please refer to the size chart for the best fit. Machine wash with similar colors, avoid bleach, and dry in shade for longevity. Package includes 1 stylish and comfortable girls trousers designed for everyday elegance.</t>
        </is>
      </c>
    </row>
    <row r="166">
      <c r="A166" s="42" t="n"/>
      <c r="B166" s="34" t="inlineStr">
        <is>
          <t>PGTROW002324</t>
        </is>
      </c>
      <c r="C166" s="34" t="inlineStr">
        <is>
          <t>APPAREL</t>
        </is>
      </c>
      <c r="D166" s="34" t="inlineStr">
        <is>
          <t>TROUSER</t>
        </is>
      </c>
      <c r="E166" s="34" t="inlineStr">
        <is>
          <t>KIDS GIRLS</t>
        </is>
      </c>
      <c r="F166" s="34" t="inlineStr">
        <is>
          <t>TEAL</t>
        </is>
      </c>
      <c r="G166" s="34" t="inlineStr">
        <is>
          <t>PGTROW002324-TEAL</t>
        </is>
      </c>
      <c r="H166" s="49" t="inlineStr">
        <is>
          <t>Purple United Kids Girls Trousers | Premium Paperbag Waist &amp; Wide Leg Style | Soft Breathable Fabric | Teal | Relaxed Fit Stylish Trouser for Girls with Button Detail</t>
        </is>
      </c>
      <c r="I166" s="48" t="inlineStr">
        <is>
          <t>Girls Teal Casual Trousers</t>
        </is>
      </c>
      <c r="J166" s="49" t="inlineStr">
        <is>
          <t>Purple United Kids Girls Teal Wide Leg Paperbag Waist Soft Comfortable Fit Trousers</t>
        </is>
      </c>
      <c r="K166" s="49" t="inlineStr">
        <is>
          <t>Kids Girls Trousers in Teal with Wide Leg, Paperbag Waist &amp; Soft Comfortable Premium Fit</t>
        </is>
      </c>
      <c r="L166" s="49" t="inlineStr">
        <is>
          <t>Purple United Kids Girls Trousers in Teal with Paperbag Waist &amp; Comfortable Fit</t>
        </is>
      </c>
      <c r="M166" s="51" t="inlineStr">
        <is>
          <t>* PREMIUM WAIST DESIGN: Premium trousers for girls featuring a stylish paperbag waist with button detailing, crafted from soft breathable fabric for elevated comfort, modern silhouette, and a refined premium look by Purple United.
* RELAXED WIDE LEG FIT: Designed as trousers for girls with a relaxed wide leg silhouette and elasticated waistband ensuring a flexible, secure fit; ideal for everyday comfort and easy movement for growing kids.
* HIGH QUALITY FABRIC BUILD: Made using durable premium fabric with strong stitching and long-lasting finish that maintains structure, color richness, and softness even after repeated washing and regular use.
* ELEVATED CASUAL STYLE: Elegant girls trousers with minimal branding, button accents, and clean finish, perfect for casual outings, travel wear, and smart everyday styling with a premium fashion appeal.
* EASY CARE ESSENTIAL: Machine wash with similar colors, do not bleach, dry in shade. Package includes 1 premium trousers for girls designed by Purple United for comfort, durability, and style.</t>
        </is>
      </c>
      <c r="N166" s="48" t="inlineStr">
        <is>
          <t>Discover elevated everyday fashion with Purple United Kids Girls Trousers, designed for young trendsetters who value comfort and style. These wide leg trousers for girls blend modern design with a premium finish, making them perfect for girls who love effortless fashion. Crafted for all-day wear, these trousers bring together confidence, comfort, and contemporary aesthetics.
These trousers for girls are made from high-quality breathable fabric that feels soft on the skin while ensuring durability. Designed with a paperbag waist and elasticated waistband, they provide a secure yet flexible fit. The wide leg silhouette enhances movement, while button detailing adds a refined touch. Lightweight construction ensures ease of wear, making these girls trousers ideal for daily use.
Built for comfort and style, these trousers for girls offer a relaxed fit that allows free movement throughout the day. The premium fabric maintains its shape and color after multiple washes, ensuring long-lasting wear. The breathable material keeps kids comfortable in all seasons, while the stylish wide leg design adds a modern, fashion-forward appeal to any outfit.
Perfect for multiple occasions, these girls trousers are ideal for casual outings, family gatherings, school events, and weekend activities. Pair them with t-shirts, tops, or shirts for a versatile look that works for playtime, travel, or semi-formal settings. These trousers for girls are designed to transition effortlessly from day to evening wear.
Upgrade your child’s wardrobe with these premium trousers for girls from Purple United. Available in multiple sizes, please refer to the size chart for the best fit. Machine wash with similar colors, avoid bleach, and dry in shade for longevity. Package includes 1 stylish and comfortable girls trousers designed for everyday elegance.</t>
        </is>
      </c>
    </row>
    <row r="167">
      <c r="A167" s="42" t="n"/>
      <c r="B167" s="34" t="inlineStr">
        <is>
          <t>PBTSHS003137</t>
        </is>
      </c>
      <c r="C167" s="34" t="inlineStr">
        <is>
          <t>APPAREL</t>
        </is>
      </c>
      <c r="D167" s="34" t="inlineStr">
        <is>
          <t>T-SHIRT</t>
        </is>
      </c>
      <c r="E167" s="34" t="inlineStr">
        <is>
          <t>KIDS BOYS</t>
        </is>
      </c>
      <c r="F167" s="34" t="inlineStr">
        <is>
          <t>BEIGE</t>
        </is>
      </c>
      <c r="G167" s="34" t="inlineStr">
        <is>
          <t>PBTSHS003137-BEIGE</t>
        </is>
      </c>
      <c r="H167" s="49" t="inlineStr">
        <is>
          <t>Purple United Kids Boys Tshirt | Graphic Print | Soft Cotton | Beige Ombre | Casual Wear | Premium Everyday Comfort | Stylish Regular Fit | Breathable Summer Tshirt for Boys</t>
        </is>
      </c>
      <c r="I167" s="48" t="inlineStr">
        <is>
          <t>Kids Boys Beige Ombre Tshirt</t>
        </is>
      </c>
      <c r="J167" s="49" t="inlineStr">
        <is>
          <t>Purple United Kids Boys Tshirt Beige Ombre Cotton Regular Fit Half Sleeve Casual Tshirt</t>
        </is>
      </c>
      <c r="K167" s="49" t="inlineStr">
        <is>
          <t>Kids Boys Tshirt in Beige Ombre with Soft Fabric &amp; Half Sleeve, Perfect Daily Casual Wear</t>
        </is>
      </c>
      <c r="L167" s="49" t="inlineStr">
        <is>
          <t>Purple United Kids Boys Tshirt in Beige Ombre with Soft Fabric &amp; Half Sleeve Fit</t>
        </is>
      </c>
      <c r="M167" s="51" t="inlineStr">
        <is>
          <t>* SOFT COTTON COMFORT: Kids Boys Tshirt crafted in soft breathable cotton fabric with smooth handfeel and lightweight comfort. Perfect t shirt for boys for daily wear, summer outings and active play.
* REGULAR EASY FIT: Regular fit Boys t shirt with crew neck and half sleeves for easy movement. Designed for growing kids, offering comfortable wear for school, travel and casual days.
* LONG-LASTING QUALITY: Premium stitched cotton blend construction with durable seams and shape retention. This tshirt for boys maintains softness, colour freshness and comfort after repeated washes.
* MODERN OMBRE LOOK: Stylish ombre Kids Boys Tshirt with modern front graphic detail. Fresh casual design makes it ideal for holidays, playdates, weekend dressing and everyday fashion.
* EASY MAINTENANCE: Machine wash cold with similar colours, dry in shade and use mild detergent. Package includes 1 premium Purple United tshirt for boys ready to wear or gift.</t>
        </is>
      </c>
      <c r="N167" s="48" t="inlineStr">
        <is>
          <t>Refresh your child’s everyday wardrobe with this Purple United Kids Boys Tshirt in a stylish ombre finish. Designed for modern young trendsetters, this Kids Boys Tshirt combines premium comfort, fresh colour styling, and easy versatility, making it an ideal Tshirt For Boys for daily wear and active routines.
Crafted from soft breathable cotton-rich fabric, this boys t shirt offers a lightweight feel and smooth touch against the skin. The knitted material promotes airflow, helping keep kids cool and comfortable. Designed with a classic crew neck, half sleeves, and regular fit silhouette, this t shirt for kids boys ensures easy movement and relaxed wear. Durable stitching and quality seams help maintain structure after repeated washes. The eye-catching ombre design with modern front graphic adds premium visual appeal, making this casual t shirt a standout choice in kids wear.
This Kids Boys Tshirt is built to deliver comfort, durability, and effortless style. The breathable fabric supports all-day freshness, while the lightweight construction allows unrestricted movement during play. Strong stitching enhances longevity, making it reliable for regular use. Its versatile shade pairs easily with jeans, shorts, joggers, or lowers for multiple outfit combinations. Whether indoors or outdoors, this tshirt for boys keeps your child looking stylish and feeling comfortable.
Perfect for school breaks, park visits, family outings, vacations, birthday gatherings, and casual weekends, this t shirt for boys suits every everyday occasion. Pair it with denim or shorts for a cool relaxed look. A practical kid tshirt for summer wear, travel, and layering across seasons.
Choose the right size for a comfortable regular fit. Machine wash cold with similar colours, dry in shade, and avoid bleach to maintain softness and colour vibrancy. Package includes 1 Purple United Kids Boys Tshirt in ombre, ready to elevate everyday style.</t>
        </is>
      </c>
    </row>
    <row r="168">
      <c r="A168" s="42" t="n"/>
      <c r="B168" s="34" t="inlineStr">
        <is>
          <t>PGDUDW001957</t>
        </is>
      </c>
      <c r="C168" s="34" t="inlineStr">
        <is>
          <t>APPAREL</t>
        </is>
      </c>
      <c r="D168" s="34" t="inlineStr">
        <is>
          <t>DUNGAREE</t>
        </is>
      </c>
      <c r="E168" s="34" t="inlineStr">
        <is>
          <t>KIDS GIRLS</t>
        </is>
      </c>
      <c r="F168" s="34" t="inlineStr">
        <is>
          <t>LT. PINK / DK. PINK</t>
        </is>
      </c>
      <c r="G168" s="34" t="inlineStr">
        <is>
          <t>PGDUDW001957-LT. PINK / DK. PINK</t>
        </is>
      </c>
      <c r="H168" s="49" t="inlineStr">
        <is>
          <t>Purple United Kids Girls Dungaree | Premium Corduroy Fabric | Light Pink &amp; Dark Pink Colorblock Design | Front Zip Closure | Soft Textured Finish | Stylish Kids Dungaree for Girls</t>
        </is>
      </c>
      <c r="I168" s="48" t="inlineStr">
        <is>
          <t>Girls Corduroy Dungaree Dress</t>
        </is>
      </c>
      <c r="J168" s="49" t="inlineStr">
        <is>
          <t>Purple United Kids Girls Corduroy Colorblock Design Front Zip Comfortable Fit Dungaree</t>
        </is>
      </c>
      <c r="K168" s="49" t="inlineStr">
        <is>
          <t>Kids Girls Corduroy Dungaree Dress with Colorblock Design &amp; Front Zip Comfortable Fit</t>
        </is>
      </c>
      <c r="L168" s="49" t="inlineStr">
        <is>
          <t>Purple United Kids Girls Corduroy Dungaree with Colorblock Design &amp; Front Zip Fit</t>
        </is>
      </c>
      <c r="M168" s="51" t="inlineStr">
        <is>
          <t>* PREMIUM FABRIC &amp; FEEL: Premium corduroy dungaree for girls crafted with rich textured fabric, offering a soft touch and structured silhouette. This kids girls dungaree delivers a refined premium look with all-day comfort.
* DESIGNED FOR COMFORT: Relaxed A-line fit with adjustable shoulder straps ensures a flexible fit for growing kids. This dungaree for girls allows easy movement, making it ideal for active everyday wear.
* LONG-LASTING QUALITY: Made with high-quality corduroy fabric and reinforced stitching, this girls dungaree ensures durability and shape retention even after multiple washes.
* MODERN COLORBLOCK STYLE: Stylish colorblock design with front zipper closure and functional pockets, giving this dungaree for girls a trendy and elevated fashion appeal.
* EASY CARE: Machine wash cold with similar colors. Do not bleach. Package includes 1 kids girls dungaree designed for long-lasting premium wear.</t>
        </is>
      </c>
      <c r="N168" s="48" t="inlineStr">
        <is>
          <t>Purple United Kids Girls Dungaree brings a fresh take on contemporary kids fashion with its premium corduroy finish and stylish colorblock design. Designed for confident young girls, this kids girls dungaree blends comfort with elevated aesthetics, making it a standout wardrobe essential.
Crafted from high-quality corduroy fabric, this dungaree for girls offers a soft textured feel with excellent durability. It features a front zipper closure for easy wear, adjustable shoulder straps for a customized fit, and functional pockets for added practicality. The structured silhouette enhances overall styling while ensuring ease of movement.
This girls dungaree is designed to deliver superior comfort and long-lasting wear. The breathable yet structured fabric keeps kids comfortable throughout the day, while the premium construction maintains shape and finish after repeated use. Its versatile design makes styling effortless across seasons.
Perfect for casual outings, playdates, travel, and semi-formal occasions, this dungaree for girls pairs easily with t-shirts or tops. Whether it’s a day at the park or a family gathering, this kids girls dungaree ensures a stylish and confident look.
Upgrade your child’s wardrobe with Purple United Kids Girls Dungaree. Refer to the size chart for the best fit. Machine wash gently and dry in shade to maintain fabric quality. Includes 1 premium dungaree for girls designed for everyday fashion and comfort.</t>
        </is>
      </c>
    </row>
    <row r="169">
      <c r="A169" s="42" t="n"/>
      <c r="B169" s="34" t="inlineStr">
        <is>
          <t>PGDUDW001957</t>
        </is>
      </c>
      <c r="C169" s="34" t="inlineStr">
        <is>
          <t>APPAREL</t>
        </is>
      </c>
      <c r="D169" s="34" t="inlineStr">
        <is>
          <t>DUNGAREE</t>
        </is>
      </c>
      <c r="E169" s="34" t="inlineStr">
        <is>
          <t>KIDS GIRLS</t>
        </is>
      </c>
      <c r="F169" s="34" t="inlineStr">
        <is>
          <t>LT. GREEN / TEAL</t>
        </is>
      </c>
      <c r="G169" s="34" t="inlineStr">
        <is>
          <t>PGDUDW001957-LT. GREEN / TEAL</t>
        </is>
      </c>
      <c r="H169" s="49" t="inlineStr">
        <is>
          <t>Purple United Kids Girls Dungaree | Premium Corduroy Fabric | Light Green &amp; Teal Colorblock Design | Front Zip Closure | Soft Textured Finish | Stylish Kids Dungaree for Girls</t>
        </is>
      </c>
      <c r="I169" s="35" t="inlineStr">
        <is>
          <t>Girls Corduroy Dungaree Dress</t>
        </is>
      </c>
      <c r="J169" s="49" t="inlineStr">
        <is>
          <t>Purple United Kids Girls Corduroy Colorblock Design Front Zip Comfortable Fit Dungaree</t>
        </is>
      </c>
      <c r="K169" s="49" t="inlineStr">
        <is>
          <t>Kids Girls Corduroy Dungaree Dress with Colorblock Design &amp; Front Zip Comfortable Fit</t>
        </is>
      </c>
      <c r="L169" s="49" t="inlineStr">
        <is>
          <t>Purple United Kids Girls Corduroy Dungaree with Colorblock Design &amp; Front Zip Fit</t>
        </is>
      </c>
      <c r="M169" s="51" t="inlineStr">
        <is>
          <t>* PREMIUM FABRIC &amp; FEEL: Premium corduroy dungaree for girls crafted with rich textured fabric, offering a soft touch and structured silhouette. This kids girls dungaree delivers a refined premium look with all-day comfort.
* DESIGNED FOR COMFORT: Relaxed A-line fit with adjustable shoulder straps ensures a flexible fit for growing kids. This dungaree for girls allows easy movement, making it ideal for active everyday wear.
* LONG-LASTING QUALITY: Made with high-quality corduroy fabric and reinforced stitching, this girls dungaree ensures durability and shape retention even after multiple washes.
* MODERN COLORBLOCK STYLE: Stylish colorblock design with front zipper closure and functional pockets, giving this dungaree for girls a trendy and elevated fashion appeal.
* EASY CARE: Machine wash cold with similar colors. Do not bleach. Package includes 1 kids girls dungaree designed for long-lasting premium wear.</t>
        </is>
      </c>
      <c r="N169" s="48" t="inlineStr">
        <is>
          <t>Purple United Kids Girls Dungaree brings a fresh take on contemporary kids fashion with its premium corduroy finish and stylish colorblock design. Designed for confident young girls, this kids girls dungaree blends comfort with elevated aesthetics, making it a standout wardrobe essential.
Crafted from high-quality corduroy fabric, this dungaree for girls offers a soft textured feel with excellent durability. It features a front zipper closure for easy wear, adjustable shoulder straps for a customized fit, and functional pockets for added practicality. The structured silhouette enhances overall styling while ensuring ease of movement.
This girls dungaree is designed to deliver superior comfort and long-lasting wear. The breathable yet structured fabric keeps kids comfortable throughout the day, while the premium construction maintains shape and finish after repeated use. Its versatile design makes styling effortless across seasons.
Perfect for casual outings, playdates, travel, and semi-formal occasions, this dungaree for girls pairs easily with t-shirts or tops. Whether it’s a day at the park or a family gathering, this kids girls dungaree ensures a stylish and confident look.
Upgrade your child’s wardrobe with Purple United Kids Girls Dungaree. Refer to the size chart for the best fit. Machine wash gently and dry in shade to maintain fabric quality. Includes 1 premium dungaree for girls designed for everyday fashion and comfort.</t>
        </is>
      </c>
    </row>
    <row r="170">
      <c r="A170" s="42" t="n"/>
      <c r="B170" s="34" t="inlineStr">
        <is>
          <t>PGDRSW001950</t>
        </is>
      </c>
      <c r="C170" s="34" t="inlineStr">
        <is>
          <t>APPAREL</t>
        </is>
      </c>
      <c r="D170" s="34" t="inlineStr">
        <is>
          <t>DRESS</t>
        </is>
      </c>
      <c r="E170" s="34" t="inlineStr">
        <is>
          <t>INFANT GIRLS</t>
        </is>
      </c>
      <c r="F170" s="34" t="inlineStr">
        <is>
          <t>OLIVE</t>
        </is>
      </c>
      <c r="G170" s="34" t="inlineStr">
        <is>
          <t>PGDRSW001950-OLIVE</t>
        </is>
      </c>
      <c r="H170" s="49" t="inlineStr">
        <is>
          <t>Purple United Kids Infant Girls Dress | Classic Corduroy | Frill Collar &amp; Snap Button | Olive | Comfortable Fit | Premium Soft Fabric and Elegant Embroidery Detail for Stylish Everyday Wear</t>
        </is>
      </c>
      <c r="I170" s="48" t="inlineStr">
        <is>
          <t>Infant Girls Corduroy Dress</t>
        </is>
      </c>
      <c r="J170" s="49" t="inlineStr">
        <is>
          <t>Purple United Kids Infant Girls Olive Frill Collar Snap Buttons Comfort Fit Corduroy Dress</t>
        </is>
      </c>
      <c r="K170" s="49" t="inlineStr">
        <is>
          <t>Infant Girls Corduroy Dress in Olive with Frill Collar &amp; Snap Buttons, Perfect Comfort Wear</t>
        </is>
      </c>
      <c r="L170" s="49" t="inlineStr">
        <is>
          <t>Purple United Kids Infant Girls Corduroy Dress in Olive with Frill Collar and Snap Buttons</t>
        </is>
      </c>
      <c r="M170" s="51" t="inlineStr">
        <is>
          <t>* SOFT CORDUROY COMFORT: Crafted from premium corduroy fabric, this kids girls dress offers a soft textured feel and cozy comfort, featuring a delicate frill collar and elegant detailing ideal for all-day wear and special occasions.
* RELAXED INFANT FIT: Designed for infant girls with a relaxed silhouette and easy snap button closure, ensuring quick dressing, comfortable movement, and a secure fit for everyday wear and outings.
* LONG-LASTING FABRIC QUALITY: Made with high-quality corduroy and reinforced stitching, this baby girl dress maintains its shape, softness, and color even after repeated washing and regular use.
* CLASSIC OLIVE ELEGANCE: Features a rich olive tone with frill collar and subtle embroidery detail, giving this kids girls dress a timeless and elegant look perfect for casual, festive, and semi-formal occasions.
* EASY CARE ESSENTIAL: Gentle machine wash recommended, wash with similar colors, and dry in shade. Package includes 1 infant girls dress designed for comfort, durability, and premium everyday styling.</t>
        </is>
      </c>
      <c r="N170" s="48" t="inlineStr">
        <is>
          <t>Dress your little one in timeless style with this Purple United Kids Infant Girls Dress in a rich olive shade. Designed for modern baby girls, this kids girls dress blends classic charm with everyday comfort, making it a perfect baby girl dress for outings, celebrations, and daily wear.
Crafted from soft textured corduroy fabric, this infant girls dress offers a cozy feel with a premium finish. The design features a delicate frill collar, long sleeves, and easy snap button closure for quick dressing. Lightweight yet structured, the fabric provides warmth without heaviness. Fine stitching and neat seams ensure durability and shape retention. The olive colour adds a sophisticated touch, while subtle embroidery enhances the overall look, making this baby girl dress a stylish addition to kids wear collections.
This kids girls dress is designed to deliver comfort, durability, and effortless style. The soft corduroy fabric keeps your baby warm and comfortable, while the relaxed fit allows free movement for active play. Strong stitching ensures long-lasting wear, making it suitable for regular use. The elegant design makes dressing easy without compromising on style. Versatile and easy to pair with tights or leggings, this dress for girls offers both practicality and premium fashion for your child.
Perfect for family outings, birthday celebrations, festive occasions, casual gatherings, park visits, and everyday wear, this baby girl dress fits a variety of moments. Pair it with boots or soft shoes for a complete look. A stylish kids girls dress ideal for both special and daily occasions.
Choose the right size for a comfortable fit. Gentle machine wash or hand wash recommended. Wash with similar colours, dry in shade, and avoid bleach to maintain fabric quality. Package includes 1 Purple United Kids Infant Girls Dress in olive, designed for comfort, durability, and everyday style.</t>
        </is>
      </c>
    </row>
    <row r="171">
      <c r="A171" s="42" t="n"/>
      <c r="B171" s="34" t="inlineStr">
        <is>
          <t>PGTOPW001956</t>
        </is>
      </c>
      <c r="C171" s="34" t="inlineStr">
        <is>
          <t>APPAREL</t>
        </is>
      </c>
      <c r="D171" s="34" t="inlineStr">
        <is>
          <t>TOP</t>
        </is>
      </c>
      <c r="E171" s="34" t="inlineStr">
        <is>
          <t>KIDS GIRLS</t>
        </is>
      </c>
      <c r="F171" s="34" t="inlineStr">
        <is>
          <t>MAROON / WHITE</t>
        </is>
      </c>
      <c r="G171" s="34" t="inlineStr">
        <is>
          <t>PGTOPW001956-MAROON / WHITE</t>
        </is>
      </c>
      <c r="H171" s="49" t="inlineStr">
        <is>
          <t xml:space="preserve">Purple United Kids Girls Top | Premium Soft Cotton | Wrap Style | Maroon &amp; White Colorblock Striped Design | Snap Button Closure | Stylish Kids Casual &amp; Occasion Wear Top for Girls </t>
        </is>
      </c>
      <c r="I171" s="48" t="inlineStr">
        <is>
          <t>Kids Girls Casual Wrap Top</t>
        </is>
      </c>
      <c r="J171" s="49" t="inlineStr">
        <is>
          <t>Purple United Kids Girls Maroon White Striped Panel Snap Button Soft Cotton Fabric Wrap Top</t>
        </is>
      </c>
      <c r="K171" s="49" t="inlineStr">
        <is>
          <t>Kids Girls Wrap Top in Maroon White with Striped Panel, Snap Button &amp; Premium Soft Cotton</t>
        </is>
      </c>
      <c r="L171" s="49" t="inlineStr">
        <is>
          <t>Purple United Kids Girls Wrap Top in Maroon White with Striped Panel &amp; Soft Cotton</t>
        </is>
      </c>
      <c r="M171" s="51" t="inlineStr">
        <is>
          <t>* SOFT &amp; BREATHABLE COTTON: Crafted from high-quality cotton, this Kids Girls Top offers superior softness and breathability, ensuring all-day comfort. Ideal for summer wear for girls, keeping them cool, stylish, and comfortable in every season.
* DESIGNED FOR KIDS GIRLS: This top for girls is tailored for a comfortable fit with a wrap-style silhouette. Suitable for growing kids, it allows easy movement while maintaining a structured look. Refer to the size chart for accurate selection.
* PREMIUM STITCHING QUALITY: Made with strong stitching and high-quality fabric, this girls top is designed for durability. It retains shape, color, and texture even after multiple washes, making it a reliable addition to kids girls clothing.
* COLORBLOCK WITH STRIPES: Featuring a modern wrap design with striped panel, this stylish top for girls adds a premium fashion touch. Perfect for casual outings, parties, and kids summer wear for girls.
* PRACTICAL FOR DAILY USE: Machine wash with similar colors, do not bleach. Easy to maintain for everyday wear. Package includes 1 Kids Girls Top from Purple United, designed with premium quality and style for modern kids</t>
        </is>
      </c>
      <c r="N171" s="48" t="inlineStr">
        <is>
          <t>Purple United Kids presents a refined Kids Girls Top designed for young trendsetters who value style and comfort. This premium top for girls features a modern wrap silhouette with a unique colorblock design, making it a standout piece in kids summer wear for girls and everyday fashion collections.
Crafted from high-quality breathable cotton, this girls top ensures a soft feel on delicate skin. The wrap-style construction is enhanced with a secure snap button closure for easy wear. It features a structured collar, full sleeves with roll-up option, and a stylish tie-up detail for adjustable fit. The striped panel contrasts beautifully with the light base, giving it a premium and polished look. Lightweight yet durable, this Kids Girls Top is designed for long-lasting wear, making it an essential addition to girls tops collections.
Designed keeping active kids in mind, this top for girls provides superior comfort without compromising on style. The breathable fabric keeps kids cool, making it perfect for summer wear for girls. Its durable stitching ensures resistance to regular wear and washing. The wrap fit allows flexibility and ease of movement, while the premium design enhances confidence and style. Whether paired with trousers or skirts, this stylish top for girls delivers a perfect blend of practicality and fashion-forward appeal.
Ideal for multiple occasions, this Kids Girls Top is perfect for school events, birthday parties, family outings, and casual day wear. Pair it with jeans, skirts, or trousers to create stylish outfits for any occasion, making it a must-have in kids girls clothing.
Refer to the size chart for the best fit. Machine wash with similar colors and avoid bleach to maintain fabric quality. This package includes 1 premium Kids Girls Top from Purple United Kids, crafted with attention to detail, comfort, and durability, perfect for elevating your child’s everyday wardrobe.</t>
        </is>
      </c>
    </row>
    <row r="172">
      <c r="A172" s="42" t="n"/>
      <c r="B172" s="34" t="inlineStr">
        <is>
          <t>PGJEGS003275</t>
        </is>
      </c>
      <c r="C172" s="34" t="inlineStr">
        <is>
          <t>APPAREL</t>
        </is>
      </c>
      <c r="D172" s="34" t="inlineStr">
        <is>
          <t>JEGGINGS</t>
        </is>
      </c>
      <c r="E172" s="34" t="inlineStr">
        <is>
          <t>KIDS GIRLS</t>
        </is>
      </c>
      <c r="F172" s="34" t="inlineStr">
        <is>
          <t>BLACK</t>
        </is>
      </c>
      <c r="G172" s="34" t="inlineStr">
        <is>
          <t>PGJEGS003275-BLACK</t>
        </is>
      </c>
      <c r="H172" s="49" t="inlineStr">
        <is>
          <t>Purple United Kids Girls Jeggings | Minimal Luxe Design | Flare Fit Stretch Comfort | Black | Soft Premium Fabric | Stylish Everyday Wear | Modern Fit | Comfortable Kids Jeggings for Girls</t>
        </is>
      </c>
      <c r="I172" s="48" t="inlineStr">
        <is>
          <t>Girls Flare Fit Black Jeggings</t>
        </is>
      </c>
      <c r="J172" s="49" t="inlineStr">
        <is>
          <t>Purple United Kids Girls Flare Jeggings in Black with Soft Fabric for Daily Comfort</t>
        </is>
      </c>
      <c r="K172" s="49" t="inlineStr">
        <is>
          <t>Kids Girls Flare Jeggings in Black with Soft Stretch Fabric for Everyday Comfort &amp; Style</t>
        </is>
      </c>
      <c r="L172" s="49" t="inlineStr">
        <is>
          <t>Purple United Kids Girls Flare Jeggings in Black with Soft Fabric for Daily Comfort</t>
        </is>
      </c>
      <c r="M172" s="51" t="inlineStr">
        <is>
          <t>* SOFT STRETCH COMFORT FABRIC: Kids Girls Jeggings crafted with premium stretchable fabric offering superior comfort, flexibility, and a smooth skin feel. Designed for all-day wear, ensuring ease of movement with a soft and breathable finish ideal for everyday styling.
* FLARE FIT WITH ELASTIC WAIST: Designed for kids girls with a snug fit through the legs and stylish flare hem. Elastic waistband ensures a secure yet flexible fit, allowing easy movement and comfort for growing kids during daily wear.
* LONG-LASTING KNIT QUALITY: Made with high-quality knit fabric and reinforced stitching, these Jeggings For Girls maintain shape, colour, and stretch even after repeated washes, ensuring durability for regular use.
* MINIMAL LUXE FLARE STYLE: Elegant Kids Girls Jeggings featuring a modern flare silhouette with side tie-up detailing, perfect for casual outings, travel, and everyday fashion with a premium stylish appeal.
* EASY MAINTENANCE: Machine wash cold with similar colours, do not bleach, dry in shade for best results. Package includes 1 Kids Girls Jeggings designed for comfort, durability, and versatile everyday wear.</t>
        </is>
      </c>
      <c r="N172" s="48" t="inlineStr">
        <is>
          <t>Purple United Kids presents these premium Kids Girls Jeggings designed for modern young fashionistas. Crafted with attention to detail, these flare jeggings blend comfort, style, and everyday versatility, making them a must-have wardrobe essential for girls who love effortless fashion.
Made from high-quality stretchable fabric, these jeggings offer a soft and breathable feel for all-day wear. The elastic waistband ensures easy slip-on comfort, while the flare bottom silhouette adds a trendy touch. Lightweight and flexible, the material allows unrestricted movement, making it perfect for active kids.
These jeggings are designed to provide superior comfort without compromising on style. The stretch fabric adapts to body movement, ensuring a snug yet relaxed fit. Durable stitching and premium fabric maintain shape and color even after multiple washes, offering long-lasting value and consistent performance.
Perfect for casual outings, school days, playdates, and weekend wear, these girls jeggings pair effortlessly with tops, tees, and tunics. Whether styled for a relaxed day look or a trendy outing, they add a fashionable edge to every occasion.
Choose Purple United Kids Girls Jeggings for a premium blend of comfort and style. Refer to the size chart for the perfect fit. Machine wash cold, do not bleach, and dry in shade to maintain fabric quality. Package includes one stylish flare jegging for girls.</t>
        </is>
      </c>
    </row>
    <row r="173">
      <c r="A173" s="42" t="n"/>
      <c r="B173" s="33" t="inlineStr">
        <is>
          <t>PGJEGS003275</t>
        </is>
      </c>
      <c r="C173" s="33" t="inlineStr">
        <is>
          <t>APPAREL</t>
        </is>
      </c>
      <c r="D173" s="34" t="inlineStr">
        <is>
          <t>JEGGINGS</t>
        </is>
      </c>
      <c r="E173" s="33" t="inlineStr">
        <is>
          <t>KIDS GIRLS</t>
        </is>
      </c>
      <c r="F173" s="34" t="inlineStr">
        <is>
          <t>BROWN</t>
        </is>
      </c>
      <c r="G173" s="34" t="inlineStr">
        <is>
          <t>PGJEGS003275-BROWN</t>
        </is>
      </c>
      <c r="H173" s="49" t="inlineStr">
        <is>
          <t>Purple United Kids Girls Jeggings | Minimal Luxe Design | Flare Fit Stretch Comfort | Brown | Soft Premium Fabric | Stylish Everyday Wear | Modern Fit | Comfortable Kids Jeggings for Girls</t>
        </is>
      </c>
      <c r="I173" s="48" t="inlineStr">
        <is>
          <t>Girls Flare Fit Brown Jeggings</t>
        </is>
      </c>
      <c r="J173" s="49" t="inlineStr">
        <is>
          <t>Purple United Kids Girls Flare Jeggings in Brown with Soft Fabric for Daily Comfort</t>
        </is>
      </c>
      <c r="K173" s="49" t="inlineStr">
        <is>
          <t>Kids Girls Flare Jeggings in Brown with Soft Stretch Fabric for Everyday Comfort &amp; Style</t>
        </is>
      </c>
      <c r="L173" s="49" t="inlineStr">
        <is>
          <t>Purple United Kids Girls Flare Jeggings in Brown with Soft Fabric for Daily Comfort</t>
        </is>
      </c>
      <c r="M173" s="51" t="inlineStr">
        <is>
          <t>* SOFT STRETCH COMFORT FABRIC: Kids Girls Jeggings crafted with premium stretchable fabric offering superior comfort, flexibility, and a smooth skin feel. Designed for all-day wear, ensuring ease of movement with a soft and breathable finish ideal for everyday styling.
* FLARE FIT WITH ELASTIC WAIST: Designed for kids girls with a snug fit through the legs and stylish flare hem. Elastic waistband ensures a secure yet flexible fit, allowing easy movement and comfort for growing kids during daily wear.
* LONG-LASTING KNIT QUALITY: Made with high-quality knit fabric and reinforced stitching, these Jeggings For Girls maintain shape, colour, and stretch even after repeated washes, ensuring durability for regular use.
* MINIMAL LUXE FLARE STYLE: Elegant Kids Girls Jeggings featuring a modern flare silhouette with side tie-up detailing, perfect for casual outings, travel, and everyday fashion with a premium stylish appeal.
* EASY MAINTENANCE: Machine wash cold with similar colours, do not bleach, dry in shade for best results. Package includes 1 Kids Girls Jeggings designed for comfort, durability, and versatile everyday wear.</t>
        </is>
      </c>
      <c r="N173" s="48" t="inlineStr">
        <is>
          <t>Purple United Kids presents these premium Kids Girls Jeggings designed for modern young fashionistas. Crafted with attention to detail, these flare jeggings blend comfort, style, and everyday versatility, making them a must-have wardrobe essential for girls who love effortless fashion.
Made from high-quality stretchable fabric, these jeggings offer a soft and breathable feel for all-day wear. The elastic waistband ensures easy slip-on comfort, while the flare bottom silhouette adds a trendy touch. Lightweight and flexible, the material allows unrestricted movement, making it perfect for active kids.
These jeggings are designed to provide superior comfort without compromising on style. The stretch fabric adapts to body movement, ensuring a snug yet relaxed fit. Durable stitching and premium fabric maintain shape and color even after multiple washes, offering long-lasting value and consistent performance.
Perfect for casual outings, school days, playdates, and weekend wear, these girls jeggings pair effortlessly with tops, tees, and tunics. Whether styled for a relaxed day look or a trendy outing, they add a fashionable edge to every occasion.
Choose Purple United Kids Girls Jeggings for a premium blend of comfort and style. Refer to the size chart for the perfect fit. Machine wash cold, do not bleach, and dry in shade to maintain fabric quality. Package includes one stylish flare jegging for girls.</t>
        </is>
      </c>
    </row>
    <row r="174">
      <c r="A174" s="42" t="n"/>
      <c r="B174" s="34" t="inlineStr">
        <is>
          <t>PGCSCS003140</t>
        </is>
      </c>
      <c r="C174" s="33" t="inlineStr">
        <is>
          <t>APPAREL</t>
        </is>
      </c>
      <c r="D174" s="34" t="inlineStr">
        <is>
          <t>CLOTHING SET</t>
        </is>
      </c>
      <c r="E174" s="33" t="inlineStr">
        <is>
          <t>KIDS GIRLS</t>
        </is>
      </c>
      <c r="F174" s="34" t="inlineStr">
        <is>
          <t>DK. BLUE</t>
        </is>
      </c>
      <c r="G174" s="34" t="inlineStr">
        <is>
          <t>PGCSCS003140-DK. BLUE</t>
        </is>
      </c>
      <c r="H174" s="49" t="inlineStr">
        <is>
          <t>Purple United Kids Girls Coord Set | Floral Applique Design | Cotton Summer Comfort | Blue | Soft Breathable Fabric | Stylish Casual Wear | Kids Girls Clothing Set</t>
        </is>
      </c>
      <c r="I174" s="48" t="inlineStr">
        <is>
          <t>Girls Blue Floral Coord Set</t>
        </is>
      </c>
      <c r="J174" s="49" t="inlineStr">
        <is>
          <t>Purple United Kids Girls Blue Floral Applique Daily Comfort Cotton Top Shorts Coord Set</t>
        </is>
      </c>
      <c r="K174" s="49" t="inlineStr">
        <is>
          <t>Kids Girls Coord Set in Blue with Floral Applique Cotton Top &amp; Shorts for Summer Comfort Wear</t>
        </is>
      </c>
      <c r="L174" s="49" t="inlineStr">
        <is>
          <t>Purple United Kids Girls Coord Set in Blue with Floral Applique Cotton Top &amp; Shorts</t>
        </is>
      </c>
      <c r="M174" s="51" t="inlineStr">
        <is>
          <t>* PREMIUM COTTON COMFORT SET: Kids Girls Coord Set crafted in soft breathable cotton fabric offering all-day comfort and gentle feel on skin. Lightweight and airy design makes it perfect for summer wear with premium finish and superior softness.
* RELAXED FIT WITH ELASTIC WAIST: Designed for kids girls with an easy relaxed fit, adjustable shoulder straps, and elastic waistband shorts for secure comfort and flexibility, ensuring ease of movement for active everyday wear.
* HIGH-QUALITY FABRIC &amp; STITCHING: Made with durable cotton fabric and strong stitching, this girls clothing set maintains shape, softness, and colour even after multiple washes, ensuring long-lasting use.
* FLORAL APPLIQUE SUMMER STYLE: Elegant coord outfit featuring layered top with floral applique detailing paired with matching shorts, perfect for summer outings, playdates, holidays, and casual styling.
* EASY MAINTENANCE SET: Machine wash cold with similar colours, do not bleach, dry in shade. Package includes 1 top and 1 shorts as a complete Kids Girls Coord Set designed for comfort and style.</t>
        </is>
      </c>
      <c r="N174" s="48" t="inlineStr">
        <is>
          <t>Purple United Kids presents this beautifully designed Kids Girls Coord Set crafted for stylish little trendsetters. Featuring a charming floral applique design and soft cotton fabric, this outfit blends comfort and elegance, making it a perfect summer essential for girls who love playful yet premium fashion.
Made from high-quality breathable cotton, this coord set includes a layered sleeveless top with delicate floral detailing and matching elastic waist shorts. The lightweight fabric ensures airflow and comfort, while adjustable straps and relaxed fit enhance wearability for all-day ease.
This coord outfit is designed to keep kids cool, comfortable, and stylish throughout the day. The soft fabric feels gentle on skin, while durable construction ensures long-lasting wear. Its easy-to-wear design supports active movement, making it ideal for daily use.
Perfect for summer outings, vacations, playdates, casual wear, and family gatherings, this girls summer clothing set adds a fresh and stylish look to any occasion. Pair it with sandals or sneakers for a complete outfit.
Upgrade your child’s wardrobe with this premium Kids Girls Coord Set from Purple United Kids. Refer to the size chart for best fit. Machine wash cold, avoid bleach, and dry in shade. Includes 1 top and 1 shorts for a complete coordinated look.</t>
        </is>
      </c>
    </row>
    <row r="175">
      <c r="A175" s="42" t="n"/>
      <c r="B175" s="34" t="inlineStr">
        <is>
          <t>PGCSCS003140</t>
        </is>
      </c>
      <c r="C175" s="33" t="inlineStr">
        <is>
          <t>APPAREL</t>
        </is>
      </c>
      <c r="D175" s="34" t="inlineStr">
        <is>
          <t>CLOTHING SET</t>
        </is>
      </c>
      <c r="E175" s="33" t="inlineStr">
        <is>
          <t>KIDS GIRLS</t>
        </is>
      </c>
      <c r="F175" s="34" t="inlineStr">
        <is>
          <t>MUSTARD</t>
        </is>
      </c>
      <c r="G175" s="34" t="inlineStr">
        <is>
          <t>PGCSCS003140-MUSTARD</t>
        </is>
      </c>
      <c r="H175" s="49" t="inlineStr">
        <is>
          <t>Purple United Kids Girls Coord Set | Floral Applique Design | Cotton Summer Comfort | Mustard | Soft Breathable Fabric | Stylish Casual Wear | Kids Girls Clothing Set</t>
        </is>
      </c>
      <c r="I175" s="48" t="inlineStr">
        <is>
          <t>Girls Mustard Floral Coord Set</t>
        </is>
      </c>
      <c r="J175" s="49" t="inlineStr">
        <is>
          <t>Purple United Kids Girls Mustard Floral Applique Daily Comfort Cotton Top Shorts Coord Set</t>
        </is>
      </c>
      <c r="K175" s="49" t="inlineStr">
        <is>
          <t>Kids Girls Coord Set in Mustard with Floral Applique Cotton Top &amp; Shorts for Summer Comfort Wear</t>
        </is>
      </c>
      <c r="L175" s="49" t="inlineStr">
        <is>
          <t>Purple United Kids Girls Coord Set in Mustard with Floral Applique Cotton Top &amp; Shorts</t>
        </is>
      </c>
      <c r="M175" s="51" t="inlineStr">
        <is>
          <t>* PREMIUM COTTON COMFORT SET: Kids Girls Coord Set crafted in soft breathable cotton fabric offering all-day comfort and gentle feel on skin. Lightweight and airy design makes it perfect for summer wear with premium finish and superior softness.
* RELAXED FIT WITH ELASTIC WAIST: Designed for kids girls with an easy relaxed fit, adjustable shoulder straps, and elastic waistband shorts for secure comfort and flexibility, ensuring ease of movement for active everyday wear.
* HIGH-QUALITY FABRIC &amp; STITCHING: Made with durable cotton fabric and strong stitching, this girls clothing set maintains shape, softness, and colour even after multiple washes, ensuring long-lasting use.
* FLORAL APPLIQUE SUMMER STYLE: Elegant coord outfit featuring layered top with floral applique detailing paired with matching shorts, perfect for summer outings, playdates, holidays, and casual styling.
* EASY MAINTENANCE SET: Machine wash cold with similar colours, do not bleach, dry in shade. Package includes 1 top and 1 shorts as a complete Kids Girls Coord Set designed for comfort and style.</t>
        </is>
      </c>
      <c r="N175" s="48" t="inlineStr">
        <is>
          <t>Purple United Kids presents this beautifully designed Kids Girls Coord Set crafted for stylish little trendsetters. Featuring a charming floral applique design and soft cotton fabric, this outfit blends comfort and elegance, making it a perfect summer essential for girls who love playful yet premium fashion.
Made from high-quality breathable cotton, this coord set includes a layered sleeveless top with delicate floral detailing and matching elastic waist shorts. The lightweight fabric ensures airflow and comfort, while adjustable straps and relaxed fit enhance wearability for all-day ease.
This coord outfit is designed to keep kids cool, comfortable, and stylish throughout the day. The soft fabric feels gentle on skin, while durable construction ensures long-lasting wear. Its easy-to-wear design supports active movement, making it ideal for daily use.
Perfect for summer outings, vacations, playdates, casual wear, and family gatherings, this girls summer clothing set adds a fresh and stylish look to any occasion. Pair it with sandals or sneakers for a complete outfit.
Upgrade your child’s wardrobe with this premium Kids Girls Coord Set from Purple United Kids. Refer to the size chart for best fit. Machine wash cold, avoid bleach, and dry in shade. Includes 1 top and 1 shorts for a complete coordinated look.</t>
        </is>
      </c>
    </row>
    <row r="176">
      <c r="A176" s="42" t="n"/>
      <c r="B176" s="34" t="inlineStr">
        <is>
          <t>PGTROS003294</t>
        </is>
      </c>
      <c r="C176" s="33" t="inlineStr">
        <is>
          <t>APPAREL</t>
        </is>
      </c>
      <c r="D176" s="34" t="inlineStr">
        <is>
          <t>TROUSER</t>
        </is>
      </c>
      <c r="E176" s="33" t="inlineStr">
        <is>
          <t>KIDS GIRLS</t>
        </is>
      </c>
      <c r="F176" s="34" t="inlineStr">
        <is>
          <t>PINK</t>
        </is>
      </c>
      <c r="G176" s="34" t="inlineStr">
        <is>
          <t>PGTROS003294-pink</t>
        </is>
      </c>
      <c r="H176" s="35" t="inlineStr">
        <is>
          <t>Purple United Kids Girls Trousers | Flared Fit Design | Soft Stretch Comfort | Pink | Elastic Waistband | Rhinestone Detail | Stylish Everyday Wear Kids Trousers for Girls</t>
        </is>
      </c>
      <c r="I176" s="49" t="inlineStr">
        <is>
          <t>Girls Pink Flared Trousers</t>
        </is>
      </c>
      <c r="J176" s="48" t="inlineStr">
        <is>
          <t>Purple United Kids Girls Pink Elastic Waist Soft Stretch Fabric Daily Wear Flared Trousers</t>
        </is>
      </c>
      <c r="K176" s="49" t="inlineStr">
        <is>
          <t>Kids Girls Flared Trousers in Pink with Elastic Waist &amp; Soft Stretch Fabric for Daily Wear</t>
        </is>
      </c>
      <c r="L176" s="49" t="inlineStr">
        <is>
          <t>Purple United Kids Girls Trousers in Pink with Elastic Waist &amp; Soft Stretch Fabric</t>
        </is>
      </c>
      <c r="M176" s="51" t="inlineStr">
        <is>
          <t>* SOFT STRETCH COMFORT FABRIC: Kids Girls Trousers crafted in premium soft stretch fabric offering superior comfort, flexibility, and smooth feel on skin. Breathable material ensures all-day ease, making it perfect for active kids and everyday wear.
* FLARED FIT WITH ELASTIC WAIST: Designed for girls with a trendy flared silhouette and elastic waistband, providing a secure yet flexible fit. Easy pull-on style ensures comfort and convenience for daily wear and movement.
* HIGH-QUALITY STITCHING &amp; FABRIC: Made with durable fabric and reinforced stitching, these trousers for girls retain shape, softness, and colour even after multiple washes, ensuring long-lasting performance.
* MINIMAL RHINESTONE DETAILING: Elegant trousers featuring subtle rhinestone embellishment and clean seam detailing, adding a premium and stylish touch suitable for casual outings and modern everyday fashion.
* EASY MAINTENANCE WEAR: Machine wash cold with similar colours, do not bleach, dry in shade. Package includes 1 pair of Kids Girls Trousers designed for comfort, durability, and effortless styling.</t>
        </is>
      </c>
      <c r="N176" s="48" t="inlineStr">
        <is>
          <t>Purple United Kids introduces these stylish Kids Girls Trousers designed for modern comfort and everyday elegance. Crafted with premium stretch fabric and a flattering flared fit, these trousers bring together fashion and functionality for young trendsetters.
Made from soft breathable stretch fabric, these trousers for girls feature an elastic waistband for easy wear and a comfortable fit. The flared silhouette enhances style, while minimal rhinestone detailing adds a refined premium touch.
These trousers ensure maximum comfort with flexibility for movement, making them perfect for active days. The fabric feels gentle on skin, while the durable build maintains quality even after repeated use.
Ideal for casual outings, school wear, travel, and everyday styling, these girls trousers can be paired with tops, tees, or sneakers for a chic and versatile look.
Upgrade your child’s wardrobe with these premium Kids Girls Trousers from Purple United Kids. Refer to size chart for best fit. Machine wash cold, avoid bleach, and dry in shade for long-lasting quality.</t>
        </is>
      </c>
    </row>
    <row r="177">
      <c r="A177" s="42" t="n"/>
      <c r="B177" s="34" t="inlineStr">
        <is>
          <t>PGTROS003294</t>
        </is>
      </c>
      <c r="C177" s="33" t="inlineStr">
        <is>
          <t>APPAREL</t>
        </is>
      </c>
      <c r="D177" s="34" t="inlineStr">
        <is>
          <t>TROUSER</t>
        </is>
      </c>
      <c r="E177" s="33" t="inlineStr">
        <is>
          <t>KIDS GIRLS</t>
        </is>
      </c>
      <c r="F177" s="34" t="inlineStr">
        <is>
          <t>LAVENDER</t>
        </is>
      </c>
      <c r="G177" s="34" t="inlineStr">
        <is>
          <t>PGTROS003294-lavender</t>
        </is>
      </c>
      <c r="H177" s="49" t="inlineStr">
        <is>
          <t>Purple United Kids Girls Trousers | Flared Fit Design | Soft Stretch Comfort | Lavender | Elastic Waistband | Rhinestone Detail | Stylish Everyday Wear Kids Trousers for Girls</t>
        </is>
      </c>
      <c r="I177" s="49" t="inlineStr">
        <is>
          <t>Girls Lavender Flared Trousers</t>
        </is>
      </c>
      <c r="J177" s="48" t="inlineStr">
        <is>
          <t>Purple United Kids Girls Lavender Elastic Waist Soft Fabric Daily Wear Flared Trousers</t>
        </is>
      </c>
      <c r="K177" s="49" t="inlineStr">
        <is>
          <t>Kids Girls Flared Trousers in Lavender with Elastic Waist &amp; Soft Stretch Fabric for Daily Wear</t>
        </is>
      </c>
      <c r="L177" s="49" t="inlineStr">
        <is>
          <t>Purple United Kids Girls Trousers in Lavender with Elastic Waist &amp; Soft Stretch Fabric</t>
        </is>
      </c>
      <c r="M177" s="51" t="inlineStr">
        <is>
          <t>* SOFT STRETCH COMFORT FABRIC: Kids Girls Trousers crafted in premium soft stretch fabric offering superior comfort, flexibility, and smooth feel on skin. Breathable material ensures all-day ease, making it perfect for active kids and everyday wear.
* FLARED FIT WITH ELASTIC WAIST: Designed for girls with a trendy flared silhouette and elastic waistband, providing a secure yet flexible fit. Easy pull-on style ensures comfort and convenience for daily wear and movement.
* HIGH-QUALITY STITCHING &amp; FABRIC: Made with durable fabric and reinforced stitching, these trousers for girls retain shape, softness, and colour even after multiple washes, ensuring long-lasting performance.
* MINIMAL RHINESTONE DETAILING: Elegant trousers featuring subtle rhinestone embellishment and clean seam detailing, adding a premium and stylish touch suitable for casual outings and modern everyday fashion.
* EASY MAINTENANCE WEAR: Machine wash cold with similar colours, do not bleach, dry in shade. Package includes 1 pair of Kids Girls Trousers designed for comfort, durability, and effortless styling.</t>
        </is>
      </c>
      <c r="N177" s="48" t="inlineStr">
        <is>
          <t>Purple United Kids introduces these stylish Kids Girls Trousers designed for modern comfort and everyday elegance. Crafted with premium stretch fabric and a flattering flared fit, these trousers bring together fashion and functionality for young trendsetters.
Made from soft breathable stretch fabric, these trousers for girls feature an elastic waistband for easy wear and a comfortable fit. The flared silhouette enhances style, while minimal rhinestone detailing adds a refined premium touch.
These trousers ensure maximum comfort with flexibility for movement, making them perfect for active days. The fabric feels gentle on skin, while the durable build maintains quality even after repeated use.
Ideal for casual outings, school wear, travel, and everyday styling, these girls trousers can be paired with tops, tees, or sneakers for a chic and versatile look.
Upgrade your child’s wardrobe with these premium Kids Girls Trousers from Purple United Kids. Refer to size chart for best fit. Machine wash cold, avoid bleach, and dry in shade for long-lasting quality.</t>
        </is>
      </c>
    </row>
    <row r="178">
      <c r="A178" s="42" t="n"/>
      <c r="B178" s="34" t="inlineStr">
        <is>
          <t>PGDRSS003559</t>
        </is>
      </c>
      <c r="C178" s="33" t="inlineStr">
        <is>
          <t>APPAREL</t>
        </is>
      </c>
      <c r="D178" s="34" t="inlineStr">
        <is>
          <t>DRESS</t>
        </is>
      </c>
      <c r="E178" s="33" t="inlineStr">
        <is>
          <t>KIDS GIRLS</t>
        </is>
      </c>
      <c r="F178" s="34" t="inlineStr">
        <is>
          <t>AQUA</t>
        </is>
      </c>
      <c r="G178" s="34" t="inlineStr">
        <is>
          <t>PGDRSS003559-AQUA</t>
        </is>
      </c>
      <c r="H178" s="49" t="inlineStr">
        <is>
          <t>Purple United Kids Girls Dress | Aqua Flamingo Print | Sleeveless Collared Design | Soft Cotton Fabric | Belted Waist | Lightweight Summer Wear | Stylish Western Dress for Girls</t>
        </is>
      </c>
      <c r="I178" s="48" t="inlineStr">
        <is>
          <t>Kids Girls Aqua Flamingo Dress</t>
        </is>
      </c>
      <c r="J178" s="49" t="inlineStr">
        <is>
          <t>Purple United Kids Girls Aqua Flamingo Print Cotton Fabric Belted Sleeveless Comfort Dress</t>
        </is>
      </c>
      <c r="K178" s="49" t="inlineStr">
        <is>
          <t>Kids Girls Dress in Aqua with Flamingo Print Cotton &amp; Belted Sleeveless Dress for Summer</t>
        </is>
      </c>
      <c r="L178" s="49" t="inlineStr">
        <is>
          <t>Purple United Kids Girls Dress in Aqua with Flamingo Print Cotton &amp; Sleeveless Fit</t>
        </is>
      </c>
      <c r="M178" s="51" t="inlineStr">
        <is>
          <t>* PREMIUM BREATHABLE COTTON FABRIC: Kids Girls Dress crafted in soft breathable cotton fabric ensuring superior comfort and airflow. Lightweight material keeps kids cool, making it an ideal summer dress for girls.
* SLEEVELESS COLLARED BELTED STYLE: Designed as a modern western dress for girls with a smart collared neckline and sleeveless silhouette. Adjustable belt enhances fit and adds a polished premium look.
* ELEGANT FLAMINGO PATTERN: All-over flamingo print adds a playful yet refined touch, making this girls dress stylish for casual wear while maintaining a premium fashion appeal.
* IDEAL FOR DAILY &amp; SUMMER WEAR: This kids dress for girls offers ease of movement with a relaxed fit, perfect as a girls casual wear dress for outings, vacations, and daywear.
* EASY MAINTENANCE WEAR: Machine wash cold with similar colours, do not bleach, dry in shade. Package includes 1 Kids Girls Dress designed for durability and everyday comfort.</t>
        </is>
      </c>
      <c r="N178" s="48" t="inlineStr">
        <is>
          <t>Purple United Kids presents a stylish Kids Girls Dress in aqua for girls designed for modern young trendsetters. Featuring a playful flamingo print and premium finish, this dress for girls is ideal for kids, combining comfort, elegance, and everyday charm in one versatile outfit.
This kids dress for girls in cotton with breathable fabric offers superior softness and durability. The sleeveless design with a structured collar gives a refined look, while the button-down front ensures easy wear. Designed as a western dress for girls with belted waist, it provides an adjustable and flattering fit. The lightweight construction makes it perfect for warm weather, while neat stitching enhances durability. This girls dress in aqua with flamingo print adds a playful yet premium touch to everyday fashion.
Crafted for comfort, this cotton dress for kids girls for summer wear keeps your child cool throughout the day. The soft fabric prevents irritation, and the relaxed fit allows easy movement during play. This girls casual wear dress for kids combines style with practicality, making it suitable for regular use. Its durable construction ensures long-lasting wear, while the elegant design makes it a perfect summer dress for girls for daily wear and outings.
Ideal as a kids girls dress for casual outings and summer wear, this outfit suits multiple occasions. Perfect for park visits, vacations, and family gatherings, it also works as a girls casual wear dress for everyday styling. Pair it with sandals for a relaxed look or elevate it into a party wear dress for girls for special moments.
Upgrade her wardrobe with this premium Kids Girls Dress in aqua for comfort and style. Refer to the size chart for the perfect fit. Easy to maintain, this cotton dress for girls can be machine washed with similar colours, avoid bleach, and dry in shade. Package includes 1 stylish dress for girls by Purple United Kids.</t>
        </is>
      </c>
    </row>
    <row r="179">
      <c r="A179" s="42" t="n"/>
      <c r="B179" s="34" t="inlineStr">
        <is>
          <t>PBSRHS003072</t>
        </is>
      </c>
      <c r="C179" s="33" t="inlineStr">
        <is>
          <t>APPAREL</t>
        </is>
      </c>
      <c r="D179" s="34" t="inlineStr">
        <is>
          <t>SHIRT</t>
        </is>
      </c>
      <c r="E179" s="33" t="inlineStr">
        <is>
          <t>KIDS BOYS</t>
        </is>
      </c>
      <c r="F179" s="34" t="inlineStr">
        <is>
          <t>BLUE</t>
        </is>
      </c>
      <c r="G179" s="34" t="inlineStr">
        <is>
          <t>PBSRHS003072-BLUE</t>
        </is>
      </c>
      <c r="H179" s="49" t="inlineStr">
        <is>
          <t>Purple United Kids Boys Shirt | Tropical Leaf Print | Soft Breathable Comfort Fabric | Blue | Roll-Up Sleeves with Button Closure | Vacations Inspired Casual Summer Wear for Boys</t>
        </is>
      </c>
      <c r="I179" s="48" t="inlineStr">
        <is>
          <t>Kids Boys Casual Fit Shirt</t>
        </is>
      </c>
      <c r="J179" s="48" t="inlineStr">
        <is>
          <t>Purple United Kids Boys Blue Tropical Print Roll-Up Sleeves Soft Airy Cotton Fabric Shirt</t>
        </is>
      </c>
      <c r="K179" s="49" t="inlineStr">
        <is>
          <t>Kids Boys Shirt in Blue with Tropical Leaf Print, Roll-Up Sleeves &amp; Soft Airy Cotton Fabric</t>
        </is>
      </c>
      <c r="L179" s="49" t="inlineStr">
        <is>
          <t>Purple United Kids Boys Shirt in Blue with Tropical Print &amp; Soft Airy Cotton Fabric</t>
        </is>
      </c>
      <c r="M179" s="51" t="inlineStr">
        <is>
          <t>* SOFT BREATHABLE SUMMER FABRIC: Kids Boys Shirt crafted in lightweight breathable fabric for superior comfort and airflow during warm weather. Soft texture feels gentle on skin, making it ideal for all-day summer wear and active movement.
* RELAXED FIT WITH ROLL-UP SLEEVES: Designed with a comfortable relaxed fit and roll-up short sleeves for easy movement and stylish everyday wear. Button-down front and structured collar add a polished premium look for modern kids fashion.
* PREMIUM STITCHING &amp; LONG-LASTING PRINT: Made using durable fabric with high-quality stitching and fade-resistant tropical leaf print. Designed to maintain shape, softness, and colour even after repeated washes and regular use.
* VACATIONS INSPIRED LOOK: Stylish boys shirt featuring elegant tropical leaf print inspired by vacation and resort fashion trends. Premium detailing and contemporary styling make it suitable for casual outings, holidays, and smart summer dressing.
* EASY EVERYDAY MAINTENANCE: Machine wash cold with similar colours, avoid bleach, and dry in shade for best fabric care. Package includes 1 Kids Boys Shirt designed for comfort, durability, and premium everyday styling.</t>
        </is>
      </c>
      <c r="N179" s="48" t="inlineStr">
        <is>
          <t>Purple United Kids presents this stylish Kids Boys Shirt designed with a premium tropical leaf print for modern summer fashion. Inspired by resort-style aesthetics, this boys shirt delivers the perfect balance of comfort, style, and versatility for young trendsetters.
Crafted with lightweight breathable fabric, this casual shirt for boys features a button-down front, structured collar, and roll-up short sleeves for elevated everyday styling. The premium tropical print enhances the visual appeal, while the soft fabric ensures comfortable all-day wear. Designed as a stylish half shirt for boys, it offers durability, smooth texture, and relaxed comfort suitable for active kids.
This Kids Boys Shirt provides breathable comfort and unrestricted movement for daily activities, vacations, and outdoor outings. The lightweight fabric keeps kids cool during summer, while the premium stitching ensures long-lasting durability. Its versatile styling makes it easy to pair with shorts, jeans, or chinos for effortless fashion.
Perfect for holidays, beach outings, birthday parties, travel, casual gatherings, and summer events, this boys shirt adds a fashionable tropical vibe to every occasion. It works well as both casual daywear and smart vacation styling for kids.
Upgrade your child’s wardrobe with this premium Kids Boys Shirt from Purple United Kids. Refer to the size chart for the ideal fit. Machine wash with similar colours, avoid bleach, and dry in shade to maintain print vibrancy and fabric quality.</t>
        </is>
      </c>
    </row>
    <row r="180">
      <c r="A180" s="42" t="n"/>
      <c r="B180" s="34" t="inlineStr">
        <is>
          <t>PBSRHS003072</t>
        </is>
      </c>
      <c r="C180" s="33" t="inlineStr">
        <is>
          <t>APPAREL</t>
        </is>
      </c>
      <c r="D180" s="34" t="inlineStr">
        <is>
          <t>SHIRT</t>
        </is>
      </c>
      <c r="E180" s="33" t="inlineStr">
        <is>
          <t>KIDS BOYS</t>
        </is>
      </c>
      <c r="F180" s="34" t="inlineStr">
        <is>
          <t>LT. GREEN</t>
        </is>
      </c>
      <c r="G180" s="34" t="inlineStr">
        <is>
          <t>PBSRHS003072-LT. GREEN</t>
        </is>
      </c>
      <c r="H180" s="49" t="inlineStr">
        <is>
          <t>Purple United Kids Boys Shirt | Tropical Leaf Print | Soft Breathable Comfort Fabric | Light Green | Roll-Up Sleeves with Button Closure | Vacations Inspired Casual Summer Wear for Boys</t>
        </is>
      </c>
      <c r="I180" s="48" t="inlineStr">
        <is>
          <t>Kids Boys Casual Fit Shirt</t>
        </is>
      </c>
      <c r="J180" s="48" t="inlineStr">
        <is>
          <t>Purple United Kids Boys Light Green Printed Roll-Up Sleeves Soft Airy Cotton Fabric Shirt</t>
        </is>
      </c>
      <c r="K180" s="49" t="inlineStr">
        <is>
          <t>Kids Boys Shirt in Light Green with Tropical Leaf Print, Roll-Up Sleeves &amp; Soft Airy Cotton Fabric</t>
        </is>
      </c>
      <c r="L180" s="49" t="inlineStr">
        <is>
          <t>Purple United Kids Boys Shirt in Light Green with Tropical Print &amp; Soft Airy Cotton Fabric</t>
        </is>
      </c>
      <c r="M180" s="51" t="inlineStr">
        <is>
          <t>* SOFT BREATHABLE SUMMER FABRIC: Kids Boys Shirt crafted in lightweight breathable fabric for superior comfort and airflow during warm weather. Soft texture feels gentle on skin, making it ideal for all-day summer wear and active movement.
* RELAXED FIT WITH ROLL-UP SLEEVES: Designed with a comfortable relaxed fit and roll-up short sleeves for easy movement and stylish everyday wear. Button-down front and structured collar add a polished premium look for modern kids fashion.
* PREMIUM STITCHING &amp; LONG-LASTING PRINT: Made using durable fabric with high-quality stitching and fade-resistant tropical leaf print. Designed to maintain shape, softness, and colour even after repeated washes and regular use.
* VACATIONS INSPIRED LOOK: Stylish boys shirt featuring elegant tropical leaf print inspired by vacation and resort fashion trends. Premium detailing and contemporary styling make it suitable for casual outings, holidays, and smart summer dressing.
* EASY EVERYDAY MAINTENANCE: Machine wash cold with similar colours, avoid bleach, and dry in shade for best fabric care. Package includes 1 Kids Boys Shirt designed for comfort, durability, and premium everyday styling.</t>
        </is>
      </c>
      <c r="N180" s="48" t="inlineStr">
        <is>
          <t>Purple United Kids presents this stylish Kids Boys Shirt designed with a premium tropical leaf print for modern summer fashion. Inspired by resort-style aesthetics, this boys shirt delivers the perfect balance of comfort, style, and versatility for young trendsetters.
Crafted with lightweight breathable fabric, this casual shirt for boys features a button-down front, structured collar, and roll-up short sleeves for elevated everyday styling. The premium tropical print enhances the visual appeal, while the soft fabric ensures comfortable all-day wear. Designed as a stylish half shirt for boys, it offers durability, smooth texture, and relaxed comfort suitable for active kids.
This Kids Boys Shirt provides breathable comfort and unrestricted movement for daily activities, vacations, and outdoor outings. The lightweight fabric keeps kids cool during summer, while the premium stitching ensures long-lasting durability. Its versatile styling makes it easy to pair with shorts, jeans, or chinos for effortless fashion.
Perfect for holidays, beach outings, birthday parties, travel, casual gatherings, and summer events, this boys shirt adds a fashionable tropical vibe to every occasion. It works well as both casual daywear and smart vacation styling for kids.
Upgrade your child’s wardrobe with this premium Kids Boys Shirt from Purple United Kids. Refer to the size chart for the ideal fit. Machine wash with similar colours, avoid bleach, and dry in shade to maintain print vibrancy and fabric quality.</t>
        </is>
      </c>
    </row>
    <row r="181">
      <c r="A181" s="42" t="n"/>
      <c r="B181" s="34" t="inlineStr">
        <is>
          <t>PGSKSS002832</t>
        </is>
      </c>
      <c r="C181" s="33" t="inlineStr">
        <is>
          <t>APPAREL</t>
        </is>
      </c>
      <c r="D181" s="34" t="inlineStr">
        <is>
          <t>SKIRT</t>
        </is>
      </c>
      <c r="E181" s="33" t="inlineStr">
        <is>
          <t>KIDS GIRLS</t>
        </is>
      </c>
      <c r="F181" s="34" t="inlineStr">
        <is>
          <t>PEACH</t>
        </is>
      </c>
      <c r="G181" s="34" t="inlineStr">
        <is>
          <t>PGSKSS002832-PEACH</t>
        </is>
      </c>
      <c r="H181" s="49" t="inlineStr">
        <is>
          <t>Purple United Kids Girls Skort | Elegant Layered Waist Design | Girls | Soft Comfort Stretch Fabric | Peach | Attached Inner Shorts with Elastic Waistband | Casual Wear Skorts for Girls</t>
        </is>
      </c>
      <c r="I181" s="48" t="inlineStr">
        <is>
          <t>Kids Girls Peach Casual Skort</t>
        </is>
      </c>
      <c r="J181" s="49" t="inlineStr">
        <is>
          <t>Purple United Kids Girls Peach Layered Waistband Soft Fabric Relaxed Fit Casual Wear Skort</t>
        </is>
      </c>
      <c r="K181" s="49" t="inlineStr">
        <is>
          <t>Kids Girls Skort in Peach with Layered Waistband, Soft Fabric &amp; Relaxed Fit for Casual Wear</t>
        </is>
      </c>
      <c r="L181" s="49" t="inlineStr">
        <is>
          <t>Purple United Kids Girls Skort in Peach with Layered Waistband &amp; Soft Fabric</t>
        </is>
      </c>
      <c r="M181" s="51" t="inlineStr">
        <is>
          <t>* PREMIUM COMFORT &amp; STYLISH DESIGN: Premium Purple United Kids Girls Skort in elegant peach shade with attached inner shorts, layered waistband detailing and soft breathable fabric for all-day comfort, movement and stylish everyday dressing.
* RELAXED FIT WITH ELASTIC WAIST: Designed for girls with a comfortable elasticated waistband and relaxed fit for easy movement. This Kids Girls Skort offers a stylish silhouette ideal for casual outings, vacations and party wear styling.
* PREMIUM FABRIC &amp; LONG-LASTING QUALITY: Crafted with premium quality woven fabric for lasting softness, shape retention and durability. Lightweight yet structured construction makes these skorts for girls suitable for regular wear and active play.
* ELEGANT PEACH PARTYWEAR LOOK: Fashion-forward peach skort featuring layered waistband styling with fabric-covered button accents and attached shorts design, perfect for modern premium kids fashion and chic seasonal outfits.
* EASY MAINTENANCE &amp; CONTENTS: Easy care fabric suitable for gentle machine wash. Package contains 1 Purple United Kids Girls Peach Skort with attached inner shorts designed for stylish everyday comfort.</t>
        </is>
      </c>
      <c r="N181" s="48" t="inlineStr">
        <is>
          <t>Purple United Kids presents a premium Kids Girls Skort designed for modern young trendsetters who love stylish yet comfortable fashion. Crafted for active girls, this skort combines the elegance of a skirt with the ease of shorts, making it a versatile wardrobe essential for casual outings, vacations, and party wear styling.
This Kids Girls Skort is crafted from soft breathable premium fabric that feels gentle on skin while ensuring long-lasting comfort. Designed with attached inner shorts for added coverage and confidence, it features a layered waistband with fabric-covered button accents for an elevated premium look. The lightweight woven construction supports unrestricted movement, while the elasticated waistband ensures a secure and flexible fit. The elegant color adds a refined touch, making these skorts for girls suitable for both everyday wear and special occasions.
Designed for comfort and style, this skort for girls offers easy movement and all-day wearability for active kids. The breathable fabric helps keep kids cool and comfortable, while the attached shorts provide extra support and ease. Durable stitching and premium-quality material ensure long-lasting use and shape retention even after multiple washes. Its fashionable silhouette allows effortless styling with tops, shirts, and tees, making it stylish addition to any girls wardrobe.
Perfect for birthday parties, family outings, vacations, casual wear, school events, and festive gatherings, this Kids Girls Skort transitions easily across occasions. Pair it with stylish tops, crop tees, or shirts for a chic and modern outfit suitable for every season and everyday fashion styling.
Upgrade your child’s wardrobe with this stylish Purple United Kids Girls Skort for premium everyday fashion. Refer to the size chart for accurate fit selection. Gentle machine wash recommended with similar colours. Package contains 1 Kids Girls Skort with attached inner shorts designed for comfort, durability, and effortless style.</t>
        </is>
      </c>
    </row>
    <row r="182">
      <c r="A182" s="42" t="n"/>
      <c r="B182" s="34" t="inlineStr">
        <is>
          <t>PUROMS003120</t>
        </is>
      </c>
      <c r="C182" s="33" t="inlineStr">
        <is>
          <t>APPAREL</t>
        </is>
      </c>
      <c r="D182" s="34" t="inlineStr">
        <is>
          <t>ROMPER</t>
        </is>
      </c>
      <c r="E182" s="33" t="inlineStr">
        <is>
          <t>KIDS-UNISEX</t>
        </is>
      </c>
      <c r="F182" s="34" t="inlineStr">
        <is>
          <t>ORANGE</t>
        </is>
      </c>
      <c r="G182" s="34" t="inlineStr">
        <is>
          <t>PUROMS003120-ORANGE</t>
        </is>
      </c>
      <c r="H182" s="49" t="inlineStr">
        <is>
          <t>Purple United Kids Infant Baby Romper | Multicolor Stripe Print | Unisex Newborn | Premium Soft Cotton Breathable Fabric | Orange | Snap Button Closure | Comfortable Everyday Wear for Infants &amp; Babies</t>
        </is>
      </c>
      <c r="I182" s="48" t="inlineStr">
        <is>
          <t>Infant Stripe Cotton Romper</t>
        </is>
      </c>
      <c r="J182" s="49" t="inlineStr">
        <is>
          <t>Purple United Kids Infant Baby Orange Multicolor Stripes Soft Cotton Comfort Wear Romper</t>
        </is>
      </c>
      <c r="K182" s="49" t="inlineStr">
        <is>
          <t>Infant Baby Romper in Orange with Multicolor Stripes and Soft Cotton Comfort for Daily Wear</t>
        </is>
      </c>
      <c r="L182" s="49" t="inlineStr">
        <is>
          <t>Purple United Kids Infant Baby Romper in Orange with Stripes and Soft Cotton Comfort</t>
        </is>
      </c>
      <c r="M182" s="51" t="inlineStr">
        <is>
          <t>* ULTRA SOFT EVERYDAY COMFORT: Infant Baby Romper designed in premium soft cotton fabric that feels gentle on delicate newborn skin. Lightweight breathable construction keeps babies comfortable during playtime, sleep, and everyday wear.
* RELAXED UNISEX BABY FIT: Designed for infants and newborn babies with a relaxed fit that allows easy movement and flexibility. Shoulder overlap neck and snap button closure ensure effortless dressing and quick diaper changes.
* PREMIUM COTTON &amp; LASTING QUALITY: Crafted using high-quality cotton fabric with durable stitching and colourfast stripe print to maintain softness, shape, and comfort even after repeated washes and daily use.
* PLAYFUL STRIPE PRINT STYLING: Stylish multicolor stripe design with contrast orange pocket detailing gives this baby romper a cheerful premium look. Perfect unisex romper for modern newborn baby fashion and casual comfort wear.
* EASY BABY CARE ESSENTIAL: Machine wash with mild detergent and similar colours. Do not bleach. Package includes 1 Infant Baby Romper thoughtfully designed for softness, comfort, and daily newborn wear.</t>
        </is>
      </c>
      <c r="N182" s="48" t="inlineStr">
        <is>
          <t>Purple United Kids introduces a premium Infant Baby Romper crafted for modern newborn comfort and playful everyday style. Featuring vibrant multicolor stripes with contrast orange detailing, this unisex romper combines adorable aesthetics with superior softness, making it an essential addition to your baby’s wardrobe.
Made from premium breathable cotton fabric, this newborn baby romper offers exceptional softness and comfort for delicate skin. The lightweight material supports all-day wear while maintaining airflow and flexibility. Designed with shoulder overlap neck styling and snap button closure, it ensures easy dressing and convenient diaper changes. The striped pattern, contrast pocket detail, and premium stitching add stylish finishing touches while enhancing durability and long-lasting wear quality.
This baby romper is thoughtfully designed to deliver superior comfort, flexibility, and durability for active infants. The soft cotton fabric helps reduce irritation while allowing unrestricted movement during crawling, resting, or playtime. Durable construction ensures the romper retains its softness, fit, and vibrant striped design even after repeated washing. Its breathable material keeps babies comfortable throughout the day across changing weather conditions.
Perfect for everyday wear, naptime, indoor play, casual outings, travel, and baby photoshoots, this Infant Baby Romper offers versatile styling for newborns and infants. Pair it with soft baby shoes, caps, or accessories for a complete premium baby fashion look.
Upgrade your baby essentials collection with this premium Purple United Kids Infant Baby Romper designed for everyday comfort and modern newborn styling. Refer to the size chart for the ideal fit. Gentle machine wash recommended with similar colours. Package contains 1 Infant Baby Romper for stylish and comfortable daily baby wear.</t>
        </is>
      </c>
    </row>
    <row r="183">
      <c r="A183" s="42" t="n"/>
      <c r="B183" s="40" t="inlineStr">
        <is>
          <t>PGTRCS002831</t>
        </is>
      </c>
      <c r="C183" s="40" t="inlineStr">
        <is>
          <t>APPAREL</t>
        </is>
      </c>
      <c r="D183" s="40" t="inlineStr">
        <is>
          <t>TROUSERS</t>
        </is>
      </c>
      <c r="E183" s="40" t="inlineStr">
        <is>
          <t>KIDS GIRLS</t>
        </is>
      </c>
      <c r="F183" s="40" t="inlineStr">
        <is>
          <t>BEIGE</t>
        </is>
      </c>
      <c r="G183" s="40" t="inlineStr">
        <is>
          <t>PGTRCS002831-BEIGE</t>
        </is>
      </c>
      <c r="H183" s="49" t="inlineStr">
        <is>
          <t>Purple United Kids Girls Trousers | Utility Cargo Style | Premium Cotton Twill Fabric | Beige | Wide Leg Fit with Tie-Up Waist &amp; Flap Pockets | Stylish Comfort Wear Trousers for Girls</t>
        </is>
      </c>
      <c r="I183" s="48" t="inlineStr">
        <is>
          <t>Girls Beige Cargo Trousers</t>
        </is>
      </c>
      <c r="J183" s="49" t="inlineStr">
        <is>
          <t>Purple United Kids Girls Beige Tie-Up Waist Utility Pockets Wide Leg Comfort Fit Trousers</t>
        </is>
      </c>
      <c r="K183" s="49" t="inlineStr">
        <is>
          <t>Kids Girls Trousers in Beige with Tie-Up Waist, Cargo Utility Pockets &amp; Wide Leg Comfort Fit</t>
        </is>
      </c>
      <c r="L183" s="49" t="inlineStr">
        <is>
          <t>Purple United Kids Girls Trousers in Beige with Tie-Up Waist &amp; Wide Leg Comfort Fit</t>
        </is>
      </c>
      <c r="M183" s="51" t="inlineStr">
        <is>
          <t>* PREMIUM COMFORT FABRIC: Crafted from premium cotton twill fabric, these Kids Girls Trousers deliver breathable comfort, a soft hand feel, and a structured wide-leg silhouette for elevated everyday styling.
* RELAXED FIT &amp; ADJUSTABLE WAIST: Designed for girls with a relaxed wide-leg fit, paperbag waistband, and adjustable tie-up belt that offers comfortable wear and easy movement throughout the day.
* DURABLE UTILITY CONSTRUCTION: Made with durable stitching, premium-quality fabric, secure metallic snap buttons, and reinforced utility pockets for long-lasting shape retention and everyday wear.
* MODERN CARGO-INSPIRED DESIGN: These cargo-inspired trousers for girls featuring utility flap pockets and modern wide-leg styling, perfect for casual outings, travel, vacations, and fashion-forward looks.
* EASY CARE &amp; PACKAGE CONTENT: Easy machine wash fabric with excellent colour retention and lasting softness. Package includes 1 pair of premium girls cargo trousers with tie-up waist detailing.</t>
        </is>
      </c>
      <c r="N183" s="48" t="inlineStr">
        <is>
          <t>Upgrade your child’s wardrobe with Purple United Kids Girls Trousers designed for modern comfort and elevated everyday style. Crafted for fashion-forward girls, these utility-inspired trousers combine premium tailoring with contemporary cargo aesthetics, making them an essential addition to versatile kidswear collections.
Made from high-quality cotton twill fabric, these trousers for girls provide a soft yet structured feel that ensures breathability, durability, and day-long comfort. The wide-leg silhouette offers effortless movement, while the paperbag waistband with tie-up detailing adds a refined premium touch. Functional cargo flap pockets and metallic snap accents enhance the overall utility-inspired styling.
These girls trousers are thoughtfully designed for active kids who need both comfort and style. The relaxed fit allows unrestricted movement, while the durable stitching and premium fabric construction maintain shape and quality even after repeated wear. Perfectly balancing fashion and practicality, these trousers create a polished statement look for modern kids.
Ideal for casual outings, vacations, family gatherings, shopping days, travel, and weekend styling, these Kids Girls Trousers pair beautifully with tops, crop tees, shirts, and fashion sandals. The elegant shade adds timeless versatility and premium appeal suitable across seasons.
Purple United Kids brings contemporary kids fashion with elevated detailing and superior comfort. For best fit, refer to the size guide before purchase. Easy to maintain with regular machine wash care. Package includes 1 stylish pair of premium trousers for girls with utility cargo pocket design.</t>
        </is>
      </c>
    </row>
    <row r="184">
      <c r="A184" s="42" t="n"/>
      <c r="B184" s="40" t="inlineStr">
        <is>
          <t>PBCSCS002949</t>
        </is>
      </c>
      <c r="C184" s="40" t="inlineStr">
        <is>
          <t>APPAREL</t>
        </is>
      </c>
      <c r="D184" s="40" t="inlineStr">
        <is>
          <t>CLOTHING SET</t>
        </is>
      </c>
      <c r="E184" s="40" t="inlineStr">
        <is>
          <t>KIDS BOYS</t>
        </is>
      </c>
      <c r="F184" s="40" t="inlineStr">
        <is>
          <t>WHITE / LT. BLUE</t>
        </is>
      </c>
      <c r="G184" s="40" t="inlineStr">
        <is>
          <t>PBCSCS002949-WHITE / LT. BLUE</t>
        </is>
      </c>
      <c r="H184" s="49" t="inlineStr">
        <is>
          <t>Purple United Kids Boys Coord Set | Premium Cotton Shirt &amp; Suspender Shorts Set | Bow Tie Detail | Soft Breathable Kids Wear Outfit | White &amp; Light Blue | Boys Casual Clothing Set</t>
        </is>
      </c>
      <c r="I184" s="48" t="inlineStr">
        <is>
          <t>Kids Boys Bow Coord Set</t>
        </is>
      </c>
      <c r="J184" s="49" t="inlineStr">
        <is>
          <t>Purple United Kids Boys White Light Blue Bow Soft Cotton Shirt Suspender Shorts Coord Set</t>
        </is>
      </c>
      <c r="K184" s="49" t="inlineStr">
        <is>
          <t>Kids Boys Coord Set in White/Light Blue with Bow Tie, Soft Fabric Suspender Shorts &amp; Cotton Shirt</t>
        </is>
      </c>
      <c r="L184" s="49" t="inlineStr">
        <is>
          <t>Purple United Kids Boys Coord Set in White/Light Blue with Suspender Shorts &amp; Cotton Shirt</t>
        </is>
      </c>
      <c r="M184" s="51" t="inlineStr">
        <is>
          <t>* PREMIUM PARTYWEAR COMFORT: Premium Kids Boys Coord Set crafted in soft breathable cotton fabric with elegant bow tie, pleated shirt detailing, and stylish suspender shorts for a sophisticated partywear look and all-day comfort.
* COMFORTABLE FIT &amp; EASY MOVEMENT: Designed for kids boys with a comfortable regular fit, elasticated waistband, soft stretch suspenders, and lightweight feel that allows easy movement during parties, celebrations, and special occasions.
* DURABLE PREMIUM FABRIC QUALITY: Made from premium-quality fabric with fine stitching, durable button closures, colour retention, and soft-touch construction for long-lasting wear, comfort, and dependable everyday performance.
* ELEGANT FORMAL LOOK: Stylish coord outfit featuring a classic collar shirt, matching bow tie, pleated front detailing, and suspender shorts ideal for birthdays, weddings, festive events, and photoshoots.
* EASY CARE &amp; COMPLETE PACKAGE: Easy-care machine washable outfit designed for repeated wear and softness retention. Package includes 1 shirt, 1 suspender shorts, and 1 matching bow tie for a complete coordinated look.</t>
        </is>
      </c>
      <c r="N184" s="48" t="inlineStr">
        <is>
          <t>Purple United Kids presents a premium Kids Boys Coord Set designed for stylish young boys who love modern comfort with elegant occasion wear styling. This coordinated boys clothing set combines timeless formal aesthetics with breathable comfort, making it ideal for multiple occasions
Crafted from premium soft cotton fabric, this Kids Boys Coord Set includes a full-sleeve collared shirt with pleated detailing, matching suspender shorts, and an elegant bow tie for a complete coordinated look. The breathable lightweight material ensures all-day comfort, while the elasticated waistband and stretch suspenders provide flexibility and easy movement. Durable stitching, premium buttons, and refined finishing enhance long-lasting wear. Designed in a sophisticated colour combination, this coord outfit delivers a polished and fashionable appearance suitable for modern boys fashion.
This boys clothing set is thoughtfully designed to deliver superior comfort, flexibility, and premium styling for active kids. The breathable cotton fabric keeps boys comfortable during extended wear, while the lightweight construction supports unrestricted movement throughout the day. Durable stitching and premium-quality fabric ensure excellent shape retention and repeated wear performance.
Perfect for birthday parties, weddings, festive celebrations, family photoshoots, vacations, formal outings, and special events, this Kids Boys Coord Set creates a sophisticated statement look for every occasion. Pair it with loafers or sneakers for stylish modern kidswear styling suitable across seasons.
Upgrade your child’s wardrobe with this premium Purple United Kids Boys Coord Set designed for comfort and effortless styling. Refer to the size chart for accurate fit selection. Gentle machine wash recommended with similar colours. Package includes 1 shirt, 1 suspender shorts, and 1 matching bow tie for a complete coordinated outfit.</t>
        </is>
      </c>
    </row>
    <row r="185">
      <c r="A185" s="42" t="n"/>
      <c r="B185" s="40" t="inlineStr">
        <is>
          <t>PBCSCS002949</t>
        </is>
      </c>
      <c r="C185" s="40" t="inlineStr">
        <is>
          <t>APPAREL</t>
        </is>
      </c>
      <c r="D185" s="40" t="inlineStr">
        <is>
          <t>CLOTHING SET</t>
        </is>
      </c>
      <c r="E185" s="40" t="inlineStr">
        <is>
          <t>KIDS BOYS</t>
        </is>
      </c>
      <c r="F185" s="40" t="inlineStr">
        <is>
          <t>OFF-WHITE / BROWN</t>
        </is>
      </c>
      <c r="G185" s="40" t="inlineStr">
        <is>
          <t>PBCSCS002949-OFF-WHITE / BROWN</t>
        </is>
      </c>
      <c r="H185" s="49" t="inlineStr">
        <is>
          <t>Purple United Kids Boys Coord Set | Premium Cotton Shirt &amp; Suspender Shorts Set | Bow Tie Detail | Soft Breathable Kids Wear Outfit | Off White &amp; Brown | Boys Casual Clothing Set</t>
        </is>
      </c>
      <c r="I185" s="48" t="inlineStr">
        <is>
          <t>Kids Boys Bow Coord Set</t>
        </is>
      </c>
      <c r="J185" s="49" t="inlineStr">
        <is>
          <t>Purple United Kids Boys Off White Brown Bow Soft Cotton Shirt Suspender Shorts Coord Set</t>
        </is>
      </c>
      <c r="K185" s="49" t="inlineStr">
        <is>
          <t>Kids Boys Coord Set in Off White/Brown with Bow Tie, Soft Fabric Suspender Shorts &amp; Cotton Shirt</t>
        </is>
      </c>
      <c r="L185" s="49" t="inlineStr">
        <is>
          <t>Purple United Kids Boys Coord Set in Off White/Brown with Suspender Shorts &amp; Cotton Shirt</t>
        </is>
      </c>
      <c r="M185" s="51" t="inlineStr">
        <is>
          <t>* PREMIUM PARTYWEAR COMFORT: Premium Kids Boys Coord Set crafted in soft breathable cotton fabric with elegant bow tie, pleated shirt detailing, and stylish suspender shorts for a sophisticated partywear look and all-day comfort.
* COMFORTABLE FIT &amp; EASY MOVEMENT: Designed for kids boys with a comfortable regular fit, elasticated waistband, soft stretch suspenders, and lightweight feel that allows easy movement during parties, celebrations, and special occasions.
* DURABLE PREMIUM FABRIC QUALITY: Made from premium-quality fabric with fine stitching, durable button closures, colour retention, and soft-touch construction for long-lasting wear, comfort, and dependable everyday performance.
* ELEGANT FORMAL LOOK: Stylish coord outfit featuring a classic collar shirt, matching bow tie, pleated front detailing, and suspender shorts ideal for birthdays, weddings, festive events, and photoshoots.
* EASY CARE &amp; COMPLETE PACKAGE: Easy-care machine washable outfit designed for repeated wear and softness retention. Package includes 1 shirt, 1 suspender shorts, and 1 matching bow tie for a complete coordinated look.</t>
        </is>
      </c>
      <c r="N185" s="48" t="inlineStr">
        <is>
          <t>Purple United Kids presents a premium Kids Boys Coord Set designed for stylish young boys who love modern comfort with elegant occasion wear styling. This coordinated boys clothing set combines timeless formal aesthetics with breathable comfort, making it ideal for multiple occasions
Crafted from premium soft cotton fabric, this Kids Boys Coord Set includes a full-sleeve collared shirt with pleated detailing, matching suspender shorts, and an elegant bow tie for a complete coordinated look. The breathable lightweight material ensures all-day comfort, while the elasticated waistband and stretch suspenders provide flexibility and easy movement. Durable stitching, premium buttons, and refined finishing enhance long-lasting wear. Designed in a sophisticated colour combination, this coord outfit delivers a polished and fashionable appearance suitable for modern boys fashion.
This boys clothing set is thoughtfully designed to deliver superior comfort, flexibility, and premium styling for active kids. The breathable cotton fabric keeps boys comfortable during extended wear, while the lightweight construction supports unrestricted movement throughout the day. Durable stitching and premium-quality fabric ensure excellent shape retention and repeated wear performance.
Perfect for birthday parties, weddings, festive celebrations, family photoshoots, vacations, formal outings, and special events, this Kids Boys Coord Set creates a sophisticated statement look for every occasion. Pair it with loafers or sneakers for stylish modern kidswear styling suitable across seasons.
Upgrade your child’s wardrobe with this premium Purple United Kids Boys Coord Set designed for comfort and effortless styling. Refer to the size chart for accurate fit selection. Gentle machine wash recommended with similar colours. Package includes 1 shirt, 1 suspender shorts, and 1 matching bow tie for a complete coordinated outfit.</t>
        </is>
      </c>
    </row>
    <row r="186">
      <c r="A186" s="42" t="n"/>
      <c r="B186" s="40" t="inlineStr">
        <is>
          <t>PBCSCS002761</t>
        </is>
      </c>
      <c r="C186" s="40" t="inlineStr">
        <is>
          <t>APPAREL</t>
        </is>
      </c>
      <c r="D186" s="40" t="inlineStr">
        <is>
          <t>CO-ORD SET</t>
        </is>
      </c>
      <c r="E186" s="40" t="inlineStr">
        <is>
          <t>KIDS BOYS</t>
        </is>
      </c>
      <c r="F186" s="40" t="inlineStr">
        <is>
          <t>LT. GREEN</t>
        </is>
      </c>
      <c r="G186" s="40" t="inlineStr">
        <is>
          <t>PBCSCS002761-LT. GREEN</t>
        </is>
      </c>
      <c r="H186" s="49" t="inlineStr">
        <is>
          <t>Purple United Kids Boys Coord Set | Tropical Leaf Print | Premium Soft Cotton Summer Outfit | Breathable Half Sleeve Shirt &amp; Shorts | Light Green | Lightweight Casual Wear | Boys Clothing Set</t>
        </is>
      </c>
      <c r="I186" s="48" t="inlineStr">
        <is>
          <t>Kids Boys Casual Coord Set</t>
        </is>
      </c>
      <c r="J186" s="35" t="inlineStr">
        <is>
          <t>Purple United Kids Boys Light Green Printed Cotton Shirt &amp; Shorts Comfort Wear Coord Set</t>
        </is>
      </c>
      <c r="K186" s="49" t="inlineStr">
        <is>
          <t>Kids Boys Coord Set in Light Green with Printed Soft Cotton Shirt &amp; Shorts for Summer Wear</t>
        </is>
      </c>
      <c r="L186" s="49" t="inlineStr">
        <is>
          <t>Purple United Kids Boys Coord Set in Light Green with Printed Soft Cotton Shirt &amp; Shorts</t>
        </is>
      </c>
      <c r="M186" s="51" t="inlineStr">
        <is>
          <t>* PREMIUM SUMMER COMFORT FABRIC: Premium Kids Boys Coord Set crafted in soft breathable cotton fabric with stylish tropical leaf print design for lightweight comfort, easy movement, and elevated summer fashion styling for modern boys.
* RELAXED FIT &amp; EASY MOVEMENT: Designed for boys with a relaxed comfort fit featuring a half-sleeve shirt, elasticated waistband shorts, and flexible silhouette ideal for daily wear, vacations, and summer outings.
* DURABLE PREMIUM FABRIC QUALITY: Made with premium-quality fabric, durable stitching, soft inner finish, and high-quality buttons to ensure long-lasting comfort, shape retention, and repeated wear performance.
* TROPICAL RESORT INSPIRED DESIGN: Stylish Light Green coord outfit featuring an all-over tropical leaf print that delivers a fresh resort-inspired look perfect for holidays, beachwear, casual gatherings, and vacation styling.
* EASY CARE &amp; COMPLETE PACKAGE: Gentle machine wash with similar colours recommended. Package includes 1 printed shirt and 1 matching shorts for a complete coordinated boys clothing set look.</t>
        </is>
      </c>
      <c r="N186" s="48" t="inlineStr">
        <is>
          <t xml:space="preserve">Purple United Kids presents a premium Kids Boys Coord Set in Light Green designed for boys who love stylish summer fashion with all-day comfort. This coordinated outfit combines modern tropical aesthetics with lightweight comfort, making it a perfect choice for vacations, casual outings, holiday wear, and everyday premium kids fashion styling.
Crafted from soft breathable cotton fabric, this Kids Boys Coord Set includes a half-sleeve collared shirt paired with matching elasticated shorts in an elegant tropical leaf print design. The lightweight fabric helps maintain airflow and keeps kids comfortable during warm-weather activities. Premium stitching, smooth finishing, durable buttons, and a flexible waistband enhance overall comfort and long-lasting wear quality. The relaxed silhouette supports unrestricted movement while maintaining a polished premium appearance suitable for modern boys fashion.
This boys clothing set is thoughtfully designed for superior comfort, durability, and effortless styling. The breathable construction keeps boys cool throughout the day, while the lightweight material supports active movement during playtime, travel, and outdoor activities. The coordinated design creates an instantly stylish look without additional styling effort, making it an ideal addition to premium summer wardrobes.
Perfect for vacations, beach outings, birthday parties, resort wear, family gatherings, casual events, photoshoots, and holiday styling, this coord outfit delivers a refined tropical-inspired fashion statement for every occasion. Pair it with sneakers, sandals, or loafers for versatile modern styling.
Upgrade your child’s wardrobe with this premium Purple United Kids Boys Coord Set designed for comfort, flexibility, and elevated summer fashion. Refer to the size chart for accurate fit selection. Gentle machine wash recommended with similar colours. Package includes 1 shirt and 1 matching shorts for a complete coordinated outfit.
</t>
        </is>
      </c>
    </row>
    <row r="187">
      <c r="A187" s="42" t="n"/>
      <c r="B187" s="40" t="inlineStr">
        <is>
          <t>PGCSKS002956</t>
        </is>
      </c>
      <c r="C187" s="40" t="inlineStr">
        <is>
          <t>APPAREL</t>
        </is>
      </c>
      <c r="D187" s="40" t="inlineStr">
        <is>
          <t>CLOTHING SET</t>
        </is>
      </c>
      <c r="E187" s="40" t="inlineStr">
        <is>
          <t>KIDS GIRLS</t>
        </is>
      </c>
      <c r="F187" s="40" t="inlineStr">
        <is>
          <t>LT. PURPLE / DK. BLUE</t>
        </is>
      </c>
      <c r="G187" s="40" t="inlineStr">
        <is>
          <t>PGCSKS002956-LT. PURPLE / DK. BLUE</t>
        </is>
      </c>
      <c r="H187" s="49" t="inlineStr">
        <is>
          <t>Purple United Kids Girls Coord Set | Embroidered Gingham Top with Denim Shorts | Puff Sleeve Floral Collar Design | Light Purple &amp; Dark Blue | Soft Cotton Summer Infant Clothing Set</t>
        </is>
      </c>
      <c r="I187" s="48" t="inlineStr">
        <is>
          <t>Kids Girls Comfort Coord Set</t>
        </is>
      </c>
      <c r="J187" s="49" t="inlineStr">
        <is>
          <t xml:space="preserve">Purple United Kids Girls Purple Blue Floral Print Cotton Top &amp; Denim Shorts Coord Set </t>
        </is>
      </c>
      <c r="K187" s="49" t="inlineStr">
        <is>
          <t>Kids Girls Coord Set in Lt. Purple and Dk. Blue Floral Print with Relaxed Fit Denim Shorts</t>
        </is>
      </c>
      <c r="L187" s="49" t="inlineStr">
        <is>
          <t>Purple United Kids Girls Coord Set in Purple &amp; Blue Floral Print with Denim Shorts</t>
        </is>
      </c>
      <c r="M187" s="51" t="inlineStr">
        <is>
          <t>* PREMIUM SOFT COTTON COMFORT: Premium Kids Girls Coord Set crafted with breathable soft cotton gingham fabric and lightweight denim shorts for superior comfort, airy feel, and stylish all-day wear during summer outings.
* COMFORT FIT FOR ACTIVE KIDS: Designed with a relaxed silhouette, elasticated shorts waistband, puff sleeves, and easy button closure for flexible movement, comfort, and effortless dressing for young girls.
* DURABLE PREMIUM QUALITY: Made with premium stitching, soft-touch fabric, durable denim construction, and refined finishing to ensure long-lasting comfort, shape retention, and repeated wear performance.
* FLORAL GINGHAM FASHION DESIGN: Stylish Light Purple and Dark Blue coord outfit featuring embroidered floral collar detailing, gingham checks, scallop hem shorts, and bow accents for an elevated premium kids fashion look.
* EASY CARE &amp; COMPLETE SET: Gentle machine wash with similar colours recommended. Package includes 1 gingham embroidered top and 1 denim shorts for a complete coordinated girls clothing set combo.</t>
        </is>
      </c>
      <c r="N187" s="48" t="inlineStr">
        <is>
          <t xml:space="preserve">Purple United Kids presents a Kids Girls Coord Set designed for stylish little girls who love all-day comfort. This coordinated outfit features an embroidered gingham top with matching denim shorts, creating a charming summer look for toddlers and young girls. This coord outfit blends comfort, elegance, and trendy styling for everyday outings and occasions.
Crafted from breathable soft cotton fabric, the Kids Girls Coord Set includes a lightweight gingham top with floral embroidered collar detailing, puff sleeves, bow accents, and front button closure for easy wear. The matching Dark Blue denim shorts feature an elasticated waistband for flexible movement and comfort. Lightweight construction, soft-touch fabric, premium stitching, and refined finishing enhance durability and shape retention. The Light Purple and Dark Blue colour combination delivers a fashionable appearance suitable for girls clothing collections.
This coord set for girls is designed to provide superior comfort, flexibility, and effortless styling for active kids. The breathable cotton fabric keeps children cool during summer wear, while the relaxed fit supports easy movement all day. Durable construction and premium-quality materials ensure repeated wear performance without compromising comfort. Floral embroidery, gingham checks, and scalloped denim detailing add elevated charm to this stylish kids girls dress set.
Perfect for birthday parties, vacations, family outings, playdates, brunches, photoshoots, park visits, and festive gatherings, this girls summer clothing set cotton outfit creates an adorable statement look. Pair it with sandals or sneakers for seasonal styling.
Upgrade your child’s wardrobe with this premium Purple United Kids Girls Coord Set designed for comfort and styling. Refer to the size chart for the best fit. Gentle machine wash with similar colours recommended. Package includes 1 embroidered gingham top and 1 denim shorts for a complete coordinated girls clothing set combo.
</t>
        </is>
      </c>
    </row>
    <row r="188">
      <c r="A188" s="42" t="n"/>
      <c r="B188" s="40" t="inlineStr">
        <is>
          <t>PUTOYA003514</t>
        </is>
      </c>
      <c r="C188" s="40" t="inlineStr">
        <is>
          <t>ACCESSORIES</t>
        </is>
      </c>
      <c r="D188" s="40" t="inlineStr">
        <is>
          <t>TOY</t>
        </is>
      </c>
      <c r="E188" s="40" t="inlineStr">
        <is>
          <t>KIDS-UNISEX</t>
        </is>
      </c>
      <c r="F188" s="40" t="inlineStr">
        <is>
          <t>PINK GREEN YELLOW</t>
        </is>
      </c>
      <c r="G188" s="40" t="inlineStr">
        <is>
          <t>PUTOYA003514-PINK GREEN YELLOW</t>
        </is>
      </c>
      <c r="H188" s="49" t="n"/>
      <c r="I188" s="48" t="n"/>
      <c r="J188" s="49" t="n"/>
      <c r="K188" s="49" t="inlineStr">
        <is>
          <t>Kids Unisex Dinosaur Soft Toy with Plush Fabric &amp; Cute Pastel Design for Playtime Snuggle</t>
        </is>
      </c>
      <c r="L188" s="49" t="n"/>
      <c r="M188" s="51" t="inlineStr">
        <is>
          <t>*ULTRA SOFT PLUSH FEEL: Cute dinosaur soft toy crafted with premium plush fabric and fluffy filling for extra comfort, cuddles, playtime fun, and cozy bedtime companionship for kids and toddlers.
*PERFECT FOR KIDS: Designed for boys and girls with a lightweight, easy-to-carry shape that makes it ideal for hugging, playroom décor, travel use, and everyday imaginative play adventures.
*DURABLE &amp; KID FRIENDLY: Made with high-quality stitching and soft-touch materials for long-lasting durability, ensuring the toy stays plush, safe, and comfortable during regular playtime use.
*ADORABLE DINOSAUR DESIGN: Features a playful dinosaur theme with cute pastel detailing and a charming expression, making it a stylish soft toy for gifting, collecting, and nursery decoration.
*EASY CARE &amp; PACKAGE CONTENT: Comes with 1 dinosaur soft toy made from easy-to-maintain fabric; gently hand wash or surface clean to keep the plush toy soft, fresh, and fluffy.</t>
        </is>
      </c>
      <c r="N188" s="48" t="inlineStr">
        <is>
          <t>Bring home playful cuddles with this adorable dinosaur soft toy made for kids who love plush toys, stuffed toys, and cute animal toys. Designed for boys and girls, this soft toy becomes a fun companion for playtime, bedtime, and everyday adventures.
Crafted with premium plush fabric and soft filling, this dinosaur toy feels gentle and cozy during hugs and naps. The lightweight shape is easy for little hands to carry, while durable stitching helps maintain softness and shape after regular play. Its kid-friendly finish makes it ideal for nursery décor, travel, and indoor fun.
This kids toy encourages imaginative play, storytelling, and comforting cuddles while offering long-lasting softness and durability. Perfect for birthdays, playdates, daycare, travel, bedtime snuggles, and gifting moments.
The package includes 1 dinosaur soft toy. Easy to clean with gentle hand wash or surface cleaning to keep the plush toy fresh, soft, and fluffy for everyday use. Ideal for toddlers and kids.</t>
        </is>
      </c>
    </row>
    <row r="189">
      <c r="A189" s="42" t="n"/>
      <c r="B189" s="40" t="inlineStr">
        <is>
          <t>PUTOYA003515</t>
        </is>
      </c>
      <c r="C189" s="40" t="inlineStr">
        <is>
          <t>ACCESSORIES</t>
        </is>
      </c>
      <c r="D189" s="40" t="inlineStr">
        <is>
          <t>TOY</t>
        </is>
      </c>
      <c r="E189" s="40" t="inlineStr">
        <is>
          <t>KIDS-UNISEX</t>
        </is>
      </c>
      <c r="F189" s="40" t="inlineStr">
        <is>
          <t>WHITE</t>
        </is>
      </c>
      <c r="G189" s="40" t="inlineStr">
        <is>
          <t>PUTOYA003515-WHITE</t>
        </is>
      </c>
      <c r="H189" s="49" t="n"/>
      <c r="I189" s="48" t="n"/>
      <c r="J189" s="49" t="n"/>
      <c r="K189" s="49" t="inlineStr">
        <is>
          <t>Kids Unisex Rabbit Soft Toy in White with Ultra Soft Plush Fabric for Playtime &amp; Fun Moments</t>
        </is>
      </c>
      <c r="L189" s="49" t="n"/>
      <c r="M189" s="51" t="inlineStr">
        <is>
          <t>* ULTRA SOFT PLUSH FEEL: Adorable bunny soft toy crafted with premium plush fabric and fluffy filling for cozy cuddles, bedtime comfort, and playful fun for kids, toddlers, and babies.
* PERFECT FOR KIDS: Designed for boys and girls with a lightweight, easy-to-carry shape that makes it ideal for hugging, travel, nursery décor, and everyday imaginative play moments.
* DURABLE &amp; KID FRIENDLY: Made with high-quality stitching and soft-touch materials to maintain shape, softness, and comfort during regular playtime, cuddling, and carrying.
* CUTE RABBIT DESIGN: Features long floppy ears, embroidered facial details, and a charming bunny character look that makes it a stylish soft toy and lovable gifting option for kids.
* EASY CARE &amp; PACKAGE CONTENT: Includes 1 bunny soft toy made with easy-to-clean plush fabric; gently hand wash or surface clean to maintain softness and fluffy texture.</t>
        </is>
      </c>
      <c r="N189" s="48" t="inlineStr">
        <is>
          <t>Make every cuddle extra special with this adorable bunny soft toy designed for kids who love plush toys, stuffed toys, and cute animal toys. With its charming rabbit-inspired look, soft floppy ears, and playful expression, this soft toy becomes a lovable companion for boys and girls during playtime and bedtime.
Crafted using premium plush fabric and fluffy filling, this bunny toy offers a gentle, cozy feel that is soft on delicate skin. The lightweight design makes it easy for little hands to carry, hug, and enjoy during travel, naps, or indoor play. Durable stitching helps maintain the toy’s softness and shape after regular use.
Perfect for imaginative play, cuddling, nursery décor, gifting, and everyday comfort, this rabbit soft toy adds playful charm to every moment. The package includes 1 bunny soft toy. Easy to clean with gentle hand wash or surface cleaning for lasting softness and freshness.</t>
        </is>
      </c>
    </row>
    <row r="190">
      <c r="A190" s="42" t="n"/>
      <c r="B190" s="40" t="inlineStr">
        <is>
          <t>PUTOYA003511</t>
        </is>
      </c>
      <c r="C190" s="40" t="inlineStr">
        <is>
          <t>ACCESSORIES</t>
        </is>
      </c>
      <c r="D190" s="40" t="inlineStr">
        <is>
          <t>TOY</t>
        </is>
      </c>
      <c r="E190" s="40" t="inlineStr">
        <is>
          <t>KIDS-UNISEX</t>
        </is>
      </c>
      <c r="F190" s="40" t="inlineStr">
        <is>
          <t>PINK BLUE PURPLE</t>
        </is>
      </c>
      <c r="G190" s="40" t="inlineStr">
        <is>
          <t>PUTOYA003511-PINK BLUE PURPLE</t>
        </is>
      </c>
      <c r="H190" s="49" t="n"/>
      <c r="I190" s="48" t="n"/>
      <c r="J190" s="49" t="n"/>
      <c r="K190" s="49" t="inlineStr">
        <is>
          <t>Kids Unisex Bunny Doll Soft Toy in Purple with Plush Fabric &amp; Cute Character Design</t>
        </is>
      </c>
      <c r="L190" s="49" t="n"/>
      <c r="M190" s="51" t="inlineStr">
        <is>
          <t>* ULTRA SOFT PLUSH FEEL: Cute bunny doll soft toy crafted with premium plush fabric and fluffy filling for gentle comfort, playful moments, bedtime use, and everyday fun for kids and toddlers. 
* PERFECT FOR KIDS: Designed for boys and girls with a lightweight, easy-to-carry structure that makes it ideal for playtime, nursery décor, travel, gifting, and imaginative storytelling fun.
* DURABLE &amp; KID FRIENDLY: Made with soft-touch fabric, quality stitching, and plush filling to maintain shape, softness, and durability through regular hugging, carrying, and daily play use.
* ADORABLE CHARACTER DESIGN: Features a playful bunny hood character look with embroidered details and cute styling, making it a trendy soft toy for girls, boys, and plush toy collections.
* EASY CARE &amp; PACKAGE CONTENT: Includes 1 bunny doll soft toy made with easy-to-clean plush fabric; gently hand wash or surface clean to maintain softness and freshness for long-term use.</t>
        </is>
      </c>
      <c r="N190" s="48" t="inlineStr">
        <is>
          <t>Bring home playful charm with this adorable bunny doll soft toy designed for kids who love plush toys, stuffed toys, and cute character toys. Featuring a charming bunny hood design with expressive embroidered details, this soft toy becomes a lovable companion for boys and girls during playtime and bedtime moments.
Crafted with premium plush fabric and soft fluffy filling, this bunny soft toy feels gentle and cozy for everyday use. The lightweight construction makes it easy for little hands to carry during travel, indoor activities, storytelling, and imaginative play. Durable stitching helps maintain shape and softness after regular playtime use.
Designed for fun, comfort, and creative play, this kids toy adds a premium touch to nursery décor, gifting occasions, and toy collections. Ideal for birthdays, return gifts, festive surprises, and everyday play adventures for toddlers and growing kids.
The package includes 1 bunny doll soft toy. Easy to maintain with gentle hand wash or surface cleaning to keep the plush fabric soft, fluffy, and fresh for long-lasting use.</t>
        </is>
      </c>
    </row>
    <row r="191">
      <c r="A191" s="42" t="n"/>
      <c r="B191" s="40" t="inlineStr">
        <is>
          <t>PUTOYA003512</t>
        </is>
      </c>
      <c r="C191" s="40" t="inlineStr">
        <is>
          <t>ACCESSORIES</t>
        </is>
      </c>
      <c r="D191" s="40" t="inlineStr">
        <is>
          <t>TOY</t>
        </is>
      </c>
      <c r="E191" s="40" t="inlineStr">
        <is>
          <t>KIDS-UNISEX</t>
        </is>
      </c>
      <c r="F191" s="40" t="inlineStr">
        <is>
          <t>PURPLE PINK BLUE</t>
        </is>
      </c>
      <c r="G191" s="40" t="inlineStr">
        <is>
          <t>PUTOYA003512-PURPLE PINK BLUE</t>
        </is>
      </c>
      <c r="H191" s="49" t="n"/>
      <c r="I191" s="48" t="n"/>
      <c r="J191" s="49" t="n"/>
      <c r="K191" s="49" t="inlineStr">
        <is>
          <t>Kids Unisex Princess Doll Soft Toy with Ultra Soft &amp; Pastel Plush Fabric for Playtime Fun</t>
        </is>
      </c>
      <c r="L191" s="49" t="n"/>
      <c r="M191" s="51" t="inlineStr">
        <is>
          <t>* ULTRA SOFT PLUSH FEEL: Premium princess doll soft toy crafted with soft plush fabric and fluffy filling for cozy comfort, bedtime cuddles, playful moments, and everyday fun for kids and toddlers.
* PERFECT FOR KIDS: Designed for boys and girls with a lightweight, easy-to-carry structure that makes it ideal for playtime, nursery décor, gifting, travel, and imaginative storytelling adventures.
* DURABLE &amp; KID FRIENDLY: Made with soft-touch fabric, quality stitching, and plush filling to maintain softness, shape, and durability during regular hugging, carrying, and daily playtime use.
* ADORABLE PRINCESS DESIGN: Features a cute princess character with pastel purple, pink, and blue detailing, braided hair, crown styling, and shimmer accents for a trendy premium toy look.
* EASY CARE &amp; PACKAGE CONTENT: Includes 1 princess doll soft toy made with easy-to-clean plush fabric; gently hand wash or surface clean to maintain freshness, softness, and long-lasting use.</t>
        </is>
      </c>
      <c r="N191" s="48" t="inlineStr">
        <is>
          <t>Bring home magical playtime fun with this adorable princess doll soft toy designed for kids who love plush toys, stuffed toys, and cute character companions. Featuring a charming princess-inspired design with pastel purple, pink, and blue detailing, braided hair styling, and shimmer accents, this soft toy becomes a lovable friend for playtime and bedtime moments.
Crafted with premium plush fabric and soft fluffy filling, this princess doll soft toy offers a gentle and cozy feel for everyday use. The lightweight construction makes it easy for little hands to carry during travel, indoor play, storytelling sessions, and imaginative adventures. Durable stitching helps maintain softness and shape even after regular playtime use.
Designed for comfort, creativity, and fun, this kids toy adds a premium touch to nursery décor, gifting occasions, and plush toy collections. Ideal for birthdays, return gifts, festive celebrations, and everyday play experiences for toddlers and growing kids.
The package includes 1 princess doll soft toy. Easy to maintain with gentle hand wash or surface cleaning to keep the plush fabric soft, fluffy, and fresh for long-lasting enjoyment.</t>
        </is>
      </c>
    </row>
    <row r="192">
      <c r="A192" s="42" t="n"/>
      <c r="B192" s="40" t="inlineStr">
        <is>
          <t>PUTOYA001825</t>
        </is>
      </c>
      <c r="C192" s="40" t="inlineStr">
        <is>
          <t>ACCESSORIES</t>
        </is>
      </c>
      <c r="D192" s="40" t="inlineStr">
        <is>
          <t>TOY</t>
        </is>
      </c>
      <c r="E192" s="40" t="inlineStr">
        <is>
          <t>KIDS-UNISEX</t>
        </is>
      </c>
      <c r="F192" s="40" t="inlineStr">
        <is>
          <t>PINK  WHITE</t>
        </is>
      </c>
      <c r="G192" s="40" t="inlineStr">
        <is>
          <t>PUTOYA001825-PINK WHITE</t>
        </is>
      </c>
      <c r="H192" s="49" t="n"/>
      <c r="I192" s="48" t="n"/>
      <c r="J192" s="49" t="n"/>
      <c r="K192" s="49" t="inlineStr">
        <is>
          <t>Kids Unisex Unicorn Soft Toy with Super Snuggly Plush for Dreamy &amp; Magical Playtime Fun</t>
        </is>
      </c>
      <c r="L192" s="49" t="n"/>
      <c r="M192" s="51" t="inlineStr">
        <is>
          <t>*ULTRA SOFT PLUSH FEEL: Premium unicorn soft toy crafted with ultra soft plush fabric and fluffy filling for cozy cuddles, bedtime comfort, playful moments, and everyday fun for kids and toddlers.
*PERFECT FOR KIDS: Lightweight and easy-to-carry unicorn toy designed for boys and girls, making it ideal for playtime, nursery décor, travel companionship, gifting, and imaginative storytelling adventures.
*DURABLE &amp; KID FRIENDLY: Made with soft-touch fabric, quality stitching, and plush filling to maintain softness, shape, and durability during regular hugging, carrying, and daily playtime use.
*ADORABLE UNICORN DESIGN: Features a dreamy unicorn character with pastel pink and white tones, rainbow mane detailing, shiny wings, and cute sparkling eyes for a premium magical toy look.
*EASY CARE &amp; PACKAGE CONTENT: Includes 1 unicorn soft toy made with easy-to-clean plush fabric; gently hand wash or surface clean to maintain freshness, softness, and long-lasting use.</t>
        </is>
      </c>
      <c r="N192" s="48" t="inlineStr">
        <is>
          <t>Bring home magical cuddles and imaginative playtime fun with this adorable unicorn soft toy designed for kids who love plush toys, stuffed toys, and fantasy-inspired companions. Featuring a charming unicorn character with pastel pink and white shades, rainbow mane accents, shiny wings, and sparkling eyes, this soft toy adds a dreamy premium touch to every playtime moment.
Crafted with premium plush fabric and soft fluffy filling, this unicorn soft toy offers a gentle and cozy feel perfect for bedtime cuddles, indoor play, storytelling sessions, and travel companionship. The lightweight construction makes it easy for little hands to carry, hug, and enjoy throughout the day. Durable stitching helps maintain softness, shape, and comfort even after regular playtime use.
Designed for comfort, creativity, and everyday fun, this kids toy also works beautifully as nursery décor, gifting essential, and plush toy collection favorite. Ideal for birthdays, return gifts, festive celebrations, and special surprises for toddlers and growing kids.
The package includes 1 unicorn soft toy. Easy to maintain with gentle hand wash or surface cleaning to keep the plush fabric soft, fluffy, and fresh for long-lasting enjoyment.</t>
        </is>
      </c>
    </row>
    <row r="193">
      <c r="A193" s="42" t="n"/>
      <c r="B193" s="40" t="inlineStr">
        <is>
          <t>PUTOYA001833</t>
        </is>
      </c>
      <c r="C193" s="40" t="inlineStr">
        <is>
          <t>ACCESSORIES</t>
        </is>
      </c>
      <c r="D193" s="40" t="inlineStr">
        <is>
          <t>TOY</t>
        </is>
      </c>
      <c r="E193" s="40" t="inlineStr">
        <is>
          <t>KIDS-UNISEX</t>
        </is>
      </c>
      <c r="F193" s="40" t="inlineStr">
        <is>
          <t>YELLOWPINK GREEN</t>
        </is>
      </c>
      <c r="G193" s="40" t="inlineStr">
        <is>
          <t>PUTOYA001833-YELLOWPINK GREEN</t>
        </is>
      </c>
      <c r="H193" s="49" t="n"/>
      <c r="I193" s="48" t="n"/>
      <c r="J193" s="49" t="n"/>
      <c r="K193" s="49" t="inlineStr">
        <is>
          <t>Kids Unisex Bear Soft Toy with Plush Fabric &amp; Snuggly Huggable Design for Playtime</t>
        </is>
      </c>
      <c r="L193" s="49" t="n"/>
      <c r="M193" s="51" t="inlineStr">
        <is>
          <t>*ULTRA SOFT PLUSH FEEL: Premium bear soft toy crafted with ultra soft plush fabric and fluffy filling for cozy cuddles, bedtime comfort, playful moments, and everyday fun for kids and toddlers.
*PERFECT FOR KIDS: Lightweight and easy-to-carry soft toy designed for boys and girls, making it ideal for playtime, nursery décor, travel companionship, gifting, and imaginative storytelling adventures.
*DURABLE &amp; KID FRIENDLY: Made with soft-touch fabric, quality stitching, and plush filling to maintain softness, shape, and durability during regular hugging, carrying, and daily playtime use.
*ADORABLE BEAR DESIGN: Features a lovable pink and cream bear character with furry texture, charming facial detailing, and playful outfit accents for a premium plush toy look.
*EASY CARE &amp; PACKAGE CONTENT: Includes 1 bear soft toy made with easy-to-clean plush fabric; gently hand wash or surface clean to maintain freshness, softness, and long-lasting use.</t>
        </is>
      </c>
      <c r="N193" s="48" t="inlineStr">
        <is>
          <t>Bring home cozy cuddles and playful moments with this adorable bear soft toy designed for kids who love plush toys, stuffed toys, and soft companions. Featuring a lovable pink and cream bear character with charming detailing, fluffy texture, and a playful premium look, this soft toy adds warmth and fun to every playtime experience.
Crafted with premium plush fabric and soft fluffy filling, this bear soft toy offers a gentle and cozy feel perfect for bedtime cuddles, indoor play, storytelling sessions, and travel companionship. The lightweight construction makes it easy for little hands to carry, hug, and enjoy throughout the day. Durable stitching helps maintain softness, shape, and comfort even after regular playtime use.
Designed for comfort, creativity, and everyday fun, this kids toy also works beautifully as nursery décor, gifting essential, and plush toy collection favorite. Ideal for birthdays, return gifts, festive celebrations, and special surprises for toddlers and growing kids.
The package includes 1 bear soft toy. Easy to maintain with gentle hand wash or surface cleaning to keep the plush fabric soft, fluffy, and fresh for long-lasting enjoyment.</t>
        </is>
      </c>
    </row>
    <row r="194">
      <c r="A194" s="42" t="n"/>
      <c r="B194" s="40" t="inlineStr">
        <is>
          <t>PUTOYA002566</t>
        </is>
      </c>
      <c r="C194" s="40" t="inlineStr">
        <is>
          <t>ACCESSORIES</t>
        </is>
      </c>
      <c r="D194" s="40" t="inlineStr">
        <is>
          <t>TOY</t>
        </is>
      </c>
      <c r="E194" s="40" t="inlineStr">
        <is>
          <t>KIDS-UNISEX</t>
        </is>
      </c>
      <c r="F194" s="40" t="inlineStr">
        <is>
          <t>PINK CREAM</t>
        </is>
      </c>
      <c r="G194" s="40" t="inlineStr">
        <is>
          <t>PUTOYA002566-PINK CREAM</t>
        </is>
      </c>
      <c r="H194" s="49" t="n"/>
      <c r="I194" s="48" t="n"/>
      <c r="J194" s="49" t="n"/>
      <c r="K194" s="49" t="inlineStr">
        <is>
          <t>Kids Unisex Unicorn Soft Toy with Plush Fabric &amp; Rainbow Wings Snuggle Buddy for Playtime</t>
        </is>
      </c>
      <c r="L194" s="49" t="n"/>
      <c r="M194" s="51" t="inlineStr">
        <is>
          <t>* DREAMY UNICORN DESIGN: Adorable unicorn soft toy with playful rainbow wings, pastel shades, and charming embroidered details designed to bring magical fun and cozy cuddles to kids.
* ULTRA SOFT &amp; HUGGABLE: Crafted with premium plush fabric and fluffy filling for an extra soft touch, making it perfect for bedtime snuggles, playtime comfort, and everyday companionship.
* LIGHTWEIGHT &amp; KID FRIENDLY: Easy-to-carry soft toy for boys and girls designed for cuddling, nursery décor, pretend play, travel fun, and joyful gifting moments for growing kids.
* DURABLE PLUSH COMFORT: Soft-touch material with quality stitching helps maintain shape, comfort, and long-lasting softness through daily hugs, carrying, and playful adventures.
* PERFECT GIFT FOR KIDS: Includes 1 unicorn plush toy ideal for birthdays, return gifts, baby showers, festive surprises, room décor, and magical storytelling fun for little dreamers.</t>
        </is>
      </c>
      <c r="N194" s="48" t="inlineStr">
        <is>
          <t>Add a touch of magical fun to your little one’s playtime with this adorable unicorn soft toy designed for cuddles, comfort, and imaginative adventures. Featuring pastel tones, rainbow wings, embroidered detailing, and a playful unicorn character, this plush toy brings a dreamy premium look kids will instantly adore.
Made with ultra soft plush fabric and fluffy filling, this unicorn soft toy offers a gentle and cozy feel perfect for bedtime snuggles, indoor play, nursery décor, and travel companionship. The lightweight design makes it easy for little hands to carry, hug, and enjoy throughout the day while encouraging imaginative storytelling and playful creativity.
Designed with premium quality stitching and soft-touch comfort, this stuffed toy maintains its shape and plush softness even after regular use. Whether used as a cuddle buddy, décor accent, or favorite playtime companion, this unicorn plush toy adds warmth, fun, and happiness to every moment.
The package includes 1 unicorn soft toy. Easy to maintain with gentle hand wash or surface cleaning to keep the plush fabric fresh, fluffy, and soft for long-lasting cuddly fun.</t>
        </is>
      </c>
    </row>
    <row r="195">
      <c r="A195" s="42" t="n"/>
      <c r="B195" s="40" t="inlineStr">
        <is>
          <t>PUTOYA001220</t>
        </is>
      </c>
      <c r="C195" s="40" t="inlineStr">
        <is>
          <t>ACCESSORIES</t>
        </is>
      </c>
      <c r="D195" s="40" t="inlineStr">
        <is>
          <t>TOY</t>
        </is>
      </c>
      <c r="E195" s="40" t="inlineStr">
        <is>
          <t>KIDS-UNISEX</t>
        </is>
      </c>
      <c r="F195" s="40" t="inlineStr">
        <is>
          <t>ASSORTED</t>
        </is>
      </c>
      <c r="G195" s="40" t="inlineStr">
        <is>
          <t>PUTOYA001220-ASSORTED</t>
        </is>
      </c>
      <c r="H195" s="49" t="n"/>
      <c r="I195" s="48" t="n"/>
      <c r="J195" s="49" t="n"/>
      <c r="K195" s="49" t="inlineStr">
        <is>
          <t>Kids Unisex Giraffe Soft Toy Plush Animal with Pastel Design &amp; Cozy Hug Feel for Play Moments</t>
        </is>
      </c>
      <c r="L195" s="49" t="n"/>
      <c r="M195" s="51" t="inlineStr">
        <is>
          <t>*ADORABLE GIRAFFE DESIGN: Cute giraffe soft toy featuring pastel shades, embroidered facial details, and a playful long-neck design that adds charm, comfort, and imaginative fun to every playtime.
*ULTRA SOFT PLUSH FEEL: Crafted with premium plush fabric and fluffy filling for a gentle touch and cozy hugging experience, making it perfect for bedtime cuddles and relaxing comfort.
*LIGHTWEIGHT &amp; HUGGABLE: Designed for easy carrying and snuggling, this soft toy is ideal for pretend play, nursery décor, travel companionship, and everyday joyful moments for kids.
*PREMIUM QUALITY COMFORT: Durable stitching and soft-touch fabric help maintain shape, softness, and plush comfort even after daily hugs, carrying, and playful adventures.
*PERFECT GIFT FOR KIDS: Includes 1 giraffe plush toy ideal for birthdays, baby showers, festive gifting, room décor, return gifts, and cuddly playtime fun for boys and girls.</t>
        </is>
      </c>
      <c r="N195" s="48" t="inlineStr">
        <is>
          <t>Bring home cuddly comfort and playful charm with this adorable giraffe soft toy designed for kids who love soft plush companions. Featuring a pastel pink body, cozy plush texture, embroidered detailing, and a cute long-neck giraffe design, this toy creates a warm and cheerful playtime experience while adding a premium touch to nursery décor and kids’ spaces.
Made with ultra soft plush fabric and fluffy filling, this stuffed toy offers a gentle and huggable feel perfect for bedtime snuggles, indoor play, storytelling fun, and travel comfort. Its lightweight design allows little hands to easily carry, cuddle, and enjoy the toy throughout the day while encouraging imaginative and interactive play.
The premium quality stitching and soft-touch construction help retain shape and softness even after regular use, making it a reliable cuddle companion for growing kids. Whether used for gifting, room decoration, or everyday playtime fun, this giraffe plush toy delivers comfort, creativity, and adorable style in every hug.
The package includes 1 giraffe soft toy. Easy to maintain with gentle hand wash or surface cleaning to keep the plush fabric soft, fresh, and fluffy for long-lasting cuddly fun.</t>
        </is>
      </c>
    </row>
    <row r="196">
      <c r="A196" s="42" t="n"/>
      <c r="B196" s="40" t="inlineStr">
        <is>
          <t>PGDUHS002978</t>
        </is>
      </c>
      <c r="C196" s="40" t="inlineStr">
        <is>
          <t>APPAREL</t>
        </is>
      </c>
      <c r="D196" s="40" t="inlineStr">
        <is>
          <t>DUNGAREE</t>
        </is>
      </c>
      <c r="E196" s="40" t="inlineStr">
        <is>
          <t>KIDS GIRLS</t>
        </is>
      </c>
      <c r="F196" s="40" t="inlineStr">
        <is>
          <t>WHITE / PINK</t>
        </is>
      </c>
      <c r="G196" s="40" t="inlineStr">
        <is>
          <t>PGDUHS002978-WHITE / PINK</t>
        </is>
      </c>
      <c r="H196" s="49" t="inlineStr">
        <is>
          <t>Purple United Kids Infant Girls Dungaree Set | Embroidered Floral Detail | Soft Cotton Blend Fabric | Pink &amp; White | Textured Shirt with Lace Trim &amp; Pocket Embroidery | Casual Wear Dungaree for Girls</t>
        </is>
      </c>
      <c r="I196" s="48" t="inlineStr">
        <is>
          <t>Infant Girls Pink Dungaree</t>
        </is>
      </c>
      <c r="J196" s="49" t="inlineStr">
        <is>
          <t>Purple United Kids Infant Girls Pink White Embroidered Pockets Soft Fabric Dungaree Dress</t>
        </is>
      </c>
      <c r="K196" s="49" t="inlineStr">
        <is>
          <t>Infant Girls Dungaree in Pink White with Embroidered Pockets and Textured Cotton Comfort Shirt</t>
        </is>
      </c>
      <c r="L196" s="49" t="inlineStr">
        <is>
          <t>Purple United Kids Infant Girls Dungaree in Pink White with Textured Cotton Shirt</t>
        </is>
      </c>
      <c r="M196" s="51" t="inlineStr">
        <is>
          <t>* PREMIUM EMBROIDERED COMFORT DESIGN: Premium Infant Girls Dungarees designed with elegant floral embroidery, delicate lace trims, and a textured white inner shirt for a stylish yet comfortable premium baby girl outfit.
* RELAXED FIT &amp; EASY CHANGING: Designed for infant girls with a relaxed comfort fit, adjustable shoulder button closure, and easy snap-button bottom opening for convenient changing and everyday movement.
* SOFT DURABLE COTTON FABRIC: Crafted from breathable cotton blend fabric with premium stitching, durable snap fasteners, and high-quality embroidery that maintains softness, shape, and comfort after repeated washes.
* FLORAL LACE PARTYWEAR STYLING: Features embroidered floral pockets, elegant lace detailing, textured white shirt, and vibrant pink dungaree styling that creates a fashionable premium kids party wear look.
* EASY CARE &amp; COMPLETE OUTFIT SET: Gentle machine wash recommended with similar colours. Package includes 1 textured white shirt and 1 embroidered pink dungaree for a complete infant girls coordinated outfit.</t>
        </is>
      </c>
      <c r="N196" s="48" t="inlineStr">
        <is>
          <t>Purple United Kids presents premium Infant Girls Dungarees designed for stylish little girls who deserve comfort with elevated fashion. This adorable pink and white coordinated outfit combines timeless detailing with modern kidswear aesthetics, making it perfect for infants and toddlers. Featuring embroidered floral pockets, delicate lace accents, and a textured white cotton shirt, this dungaree for kids girls delivers a refined premium look for every special moment.
Crafted using soft breathable cotton blend fabric, these Infant Girls Dungarees are lightweight, gentle on delicate skin, and comfortable for all-day wear. The premium pink dungaree features adjustable shoulder button closure, embroidered floral pocket detailing, lace-finished edges, and convenient snap-button opening for easy diaper changes. The textured white shirt includes a soft collar, front button closure, and frill sleeves that enhance the elegant silhouette. Durable stitching, soft-touch fabric, and lightweight construction ensure long-lasting wear while maintaining softness and shape after repeated washes.
Designed for active infants and toddlers, this baby girl dungaree set combines comfort, flexibility, and premium styling effortlessly. The breathable fabric keeps little ones cool during warm weather, while the relaxed fit supports unrestricted movement throughout the day. Floral embroidery, lace trims, and coordinated styling elevate the overall appearance, making this kids girls dress outfit a fashionable addition to premium kidswear collections. Its versatile styling makes dressing simple while delivering a polished fashion-forward look.
Perfect for birthday parties, family outings, festive occasions, vacations, casual gatherings, photoshoots, playdates, and everyday wear, this dungaree for girls creates an adorable statement look. Pair it with cute sandals or sneakers for stylish seasonal fashion suitable for every occasion.
Upgrade your child’s wardrobe with Purple United Kids Infant Girls Dungarees crafted for premium comfort and timeless style. Refer to the size chart before purchase for the ideal fit. Gentle machine wash with similar colours recommended. Package includes 1 textured white shirt and 1 embroidered pink dungaree outfit for a complete coordinated baby girl fashion look.</t>
        </is>
      </c>
    </row>
    <row r="197">
      <c r="A197" s="42" t="n"/>
      <c r="B197" s="40" t="inlineStr">
        <is>
          <t>PGCSKS002962</t>
        </is>
      </c>
      <c r="C197" s="40" t="inlineStr">
        <is>
          <t>APPAREL</t>
        </is>
      </c>
      <c r="D197" s="40" t="inlineStr">
        <is>
          <t>CLOTHING SET</t>
        </is>
      </c>
      <c r="E197" s="40" t="inlineStr">
        <is>
          <t>KIDS GIRLS</t>
        </is>
      </c>
      <c r="F197" s="40" t="inlineStr">
        <is>
          <t>RED</t>
        </is>
      </c>
      <c r="G197" s="40" t="inlineStr">
        <is>
          <t>PGCSKS002962-RED</t>
        </is>
      </c>
      <c r="H197" s="49" t="inlineStr">
        <is>
          <t>Purple United Kids Girls Coord Set | Elegant Textured Theme | Puff Sleeve Embroidered Top &amp; Checked Frill Skirt | Lace Detail | Red | Soft Cotton Blend | Premium Kids Clothing Set for Infant Girls</t>
        </is>
      </c>
      <c r="I197" s="48" t="inlineStr">
        <is>
          <t>Kids Girls Red Coord Set</t>
        </is>
      </c>
      <c r="J197" s="49" t="inlineStr">
        <is>
          <t>Purple United Kids Infant Girls Red Textured Fabric Top Cotton Checked Skirt Coord Set</t>
        </is>
      </c>
      <c r="K197" s="49" t="inlineStr">
        <is>
          <t>Infant Girls Coord Set in Red with Puff Sleeves, Textured Fabric Top &amp; Cotton Checked Skirt</t>
        </is>
      </c>
      <c r="L197" s="49" t="inlineStr">
        <is>
          <t>Purple United Kids Infant Girls Coord Set in Red with Textured Top &amp; Cotton Checked Skirt</t>
        </is>
      </c>
      <c r="M197" s="51" t="inlineStr">
        <is>
          <t>* PREMIUM SOFT COTTON COMFORT: Premium Kids Girls Coord Set crafted in soft breathable cotton blend fabric featuring a textured puff sleeve top and checked frill skirt with delicate lace trims for stylish all-day comfort and premium everyday fashion.
* COMFORTABLE FIT &amp; EASY MOVEMENT: Designed for infant and young girls with a regular comfortable fit, stretchable elastic waistband, lightweight feel, and easy movement for playtime, outings, vacations, casual wear, and party occasions.
* DURABLE FABRIC &amp; PREMIUM STITCHING: Made with high-quality cotton blend fabric, reinforced stitching, colour-retention finish, and premium trims to provide lasting durability, softness, shape retention, and repeated comfortable wear.
* ELEGANT CHECKED PARTYWEAR DESIGN: Stylish red coord outfit featuring textured detailing, puff sleeves, embroidered chest motif, gingham checked layered skirt, lace accents, and premium styling inspired by modern kids fashion trends.
* EASY CARE &amp; COMPLETE OUTFIT SET: Gentle machine wash with similar colours recommended. Package includes 1 textured puff sleeve top and 1 checked frill skirt, making it a premium kids clothing set combo for girls.</t>
        </is>
      </c>
      <c r="N197" s="48" t="inlineStr">
        <is>
          <t>Purple United Kids presents a premium Kids Girls Coord Set designed for little fashion lovers who enjoy stylish everyday comfort. This elegant red clothing set combines timeless detailing with modern kidswear aesthetics, making it perfect for girls who love fashionable coordinated outfits. Featuring a textured puff sleeve top paired with a checked skirt, this coord outfit delivers comfort, sophistication, and playful charm for every occasion.
Crafted using soft breathable cotton blend fabric, this kids clothing set combo offers lightweight comfort and gentle softness for delicate skin. The textured red top features puff sleeves, front button closure, lace piping, and embroidered detailing that enhances its premium appearance. The matching checked skirt is designed with an elasticated waistband for flexible comfort and layered frill construction for added movement and style. Durable stitching, breathable fabric, soft-touch construction, and refined finishing ensure long-lasting wear and all-day comfort.
Designed for active kids, this coord set for girls balances fashion with functionality effortlessly. The relaxed silhouette allows unrestricted movement while the lightweight fabric keeps kids cool and comfortable during warm weather. Premium trims, gingham checks, textured patterns, and elegant detailing make this coordinated outfit a stylish wardrobe essential suitable for modern kids fashion collections.
Perfect for birthday parties, festive celebrations, vacations, family outings, casual gatherings, playdates, photoshoots, and summer events, this kids girls coord set creates an effortlessly stylish look. Pair it with sneakers, sandals, or ballerinas for charming seasonal styling.
Upgrade your child’s wardrobe with this premium Purple United Kids coord outfit designed for comfort and modern styling. Refer to the size chart for the best fit. Gentle machine wash with similar colours recommended. Package includes 1 textured puff sleeve top and 1 checked layered skirt.</t>
        </is>
      </c>
    </row>
    <row r="198">
      <c r="A198" s="42" t="n"/>
      <c r="B198" s="40" t="inlineStr">
        <is>
          <t>PGCSCS002840</t>
        </is>
      </c>
      <c r="C198" s="40" t="inlineStr">
        <is>
          <t>APPAREL</t>
        </is>
      </c>
      <c r="D198" s="40" t="inlineStr">
        <is>
          <t>CLOTHING SET</t>
        </is>
      </c>
      <c r="E198" s="40" t="inlineStr">
        <is>
          <t>KIDS GIRLS</t>
        </is>
      </c>
      <c r="F198" s="40" t="inlineStr">
        <is>
          <t>PINK MULTICOLOR</t>
        </is>
      </c>
      <c r="G198" s="40" t="inlineStr">
        <is>
          <t>PGCSCS002840-PINK MULTICOLOR</t>
        </is>
      </c>
      <c r="H198" s="49" t="inlineStr">
        <is>
          <t>Purple United Kids Girls Coord Set | Heart Theme | Soft Breathable Cotton Blend | Striped Ric Rac Detailing Top &amp; Elastic Waist Shorts | Pink Multicolor | Premium Kids Summer Clothing Set for Girls</t>
        </is>
      </c>
      <c r="I198" s="48" t="inlineStr">
        <is>
          <t>Kids Girls Striped Coord Set</t>
        </is>
      </c>
      <c r="J198" s="49" t="inlineStr">
        <is>
          <t>Purple United Kids Girls Pink Multicolor Cotton Top &amp; Shorts Daily Comfort Wear Coord Set</t>
        </is>
      </c>
      <c r="K198" s="49" t="inlineStr">
        <is>
          <t>Kids Girls Coord Set in Pink Multicolor with Soft Cotton Top &amp; Shorts for Summer Wear</t>
        </is>
      </c>
      <c r="L198" s="49" t="inlineStr">
        <is>
          <t>Purple United Kids Girls Coord Set in Pink Multicolor with Cotton Top &amp; Shorts for Summers</t>
        </is>
      </c>
      <c r="M198" s="51" t="inlineStr">
        <is>
          <t>* PREMIUM SUMMER COORD STYLING: Stylish kids girls coord set featuring soft striped fabric, heart embroidery, ric rac detailing, and breathable comfort for elevated everyday fashion and summer-ready styling.
* RELAXED COMFORT FIT: Designed for kids girls with a comfortable relaxed silhouette, easy movement, soft elasticated shorts waistband, and lightweight construction for all-day wearability.
* SOFT &amp; BREATHABLE FABRIC: Crafted using premium quality breathable cotton blend fabric with durable stitching, soft-touch finish, fade-resistant stripes, and long-lasting comfort for active kids. 
* PLAYFUL PREMIUM AESTHETIC: Features pastel multicolor stripes, decorative ric rac trims, embroidered heart detail, coordinated top and shorts design, creating a chic premium summer coord outfit.
* EASY EVERYDAY MAINTENANCE: Gentle machine wash recommended. Package includes 1 striped top and 1 matching shorts. Ideal for vacations, casual outings, summer parties, playdates, and stylish everyday wear.</t>
        </is>
      </c>
      <c r="N198" s="48" t="inlineStr">
        <is>
          <t>Purple United Kids presents a thoughtfully designed Kids Girls Coord Set crafted for modern kids fashion lovers who enjoy playful styling with premium comfort. This stylish multicolor coord outfit combines pastel striped aesthetics, delicate detailing, and breathable comfort to create a standout summer-ready clothing set for girls. The coordinated top and shorts design delivers effortless styling for fashionable everyday dressing.
Made using soft breathable cotton blend fabric, this girls clothing set ensures lightweight comfort and skin-friendly wear throughout the day. The striped top features elegant ric rac detailing on sleeves and closure, delicate heart embroidery, comfortable short sleeves, and easy back button fastening for added convenience. The matching shorts include a flexible elasticated waistband and relaxed fit construction for unrestricted movement and superior comfort. Premium stitching quality and refined finishing enhance the luxurious appeal of this coord set for girls.
Designed for active lifestyles, this kids girls coord set balances comfort, durability, and contemporary style effortlessly. The breathable construction keeps kids cool during warmer days while the relaxed fit supports easy movement. The pastel stripe pattern paired with contrast trims creates a premium fashion-forward appearance inspired by elevated summer kidswear trends.
Perfect for vacations, casual outings, birthday celebrations, family gatherings, resort wear, playdates, photoshoots, and summer events, this kids clothing set combo offers versatile styling for multiple occasions. Pair with sneakers, sandals, or ballerinas for a complete premium fashion look.
Upgrade your child’s wardrobe with this premium Purple United Kids coord outfit designed for modern comfort and elevated summer styling. Refer to the size chart for the ideal fit. Gentle machine wash with similar colours recommended. Package includes 1 striped top and 1 matching shorts.</t>
        </is>
      </c>
      <c r="O198" s="50" t="inlineStr">
        <is>
          <t>*Soft breathable fabric keeps kids cool comfortably
*Stylish coordinated top and shorts for girls
*Elastic waistband ensures flexible all-day comfortable fit
*Lightweight durable fabric designed for everyday wear</t>
        </is>
      </c>
    </row>
    <row r="199">
      <c r="A199" s="42" t="n"/>
      <c r="B199" s="33" t="inlineStr">
        <is>
          <t>PGCSCS002840</t>
        </is>
      </c>
      <c r="C199" s="33" t="inlineStr">
        <is>
          <t>APPAREL</t>
        </is>
      </c>
      <c r="D199" s="33" t="inlineStr">
        <is>
          <t>CLOTHING SET</t>
        </is>
      </c>
      <c r="E199" s="33" t="inlineStr">
        <is>
          <t>KIDS GIRLS</t>
        </is>
      </c>
      <c r="F199" s="33" t="inlineStr">
        <is>
          <t>YELLOW MULTICOLOR</t>
        </is>
      </c>
      <c r="G199" s="33" t="inlineStr">
        <is>
          <t>PGCSCS002840-YELLOW MULTICOLOR</t>
        </is>
      </c>
      <c r="H199" s="49" t="inlineStr">
        <is>
          <t>Purple United Kids Girls Coord Set | Heart Theme | Soft Breathable Cotton Blend | Striped Ric Rac Detailing Top &amp; Elastic Waist Shorts | Yellow Multicolor | Premium Kids Summer Clothing Set for Girls</t>
        </is>
      </c>
      <c r="I199" s="48" t="inlineStr">
        <is>
          <t>Kids Girls Striped Coord Set</t>
        </is>
      </c>
      <c r="J199" s="49" t="inlineStr">
        <is>
          <t>Purple United Kids Girls Yellow Multicolor Cotton Top &amp; Shorts Comfort Wear Coord Set</t>
        </is>
      </c>
      <c r="K199" s="49" t="inlineStr">
        <is>
          <t>Kids Girls Coord Set in Yellow Multicolor with Soft Cotton Top &amp; Shorts for Summer Wear</t>
        </is>
      </c>
      <c r="L199" s="49" t="inlineStr">
        <is>
          <t>Purple United Kids Girls Coord Set in Yellow Multicolor with Cotton Top &amp; Shorts for Summers</t>
        </is>
      </c>
      <c r="M199" s="51" t="inlineStr">
        <is>
          <t>* PREMIUM SUMMER COORD STYLING: Stylish kids girls coord set featuring soft striped fabric, heart embroidery, ric rac detailing, and breathable comfort for elevated everyday fashion and summer-ready styling.
* RELAXED COMFORT FIT: Designed for kids girls with a comfortable relaxed silhouette, easy movement, soft elasticated shorts waistband, and lightweight construction for all-day wearability.
* SOFT &amp; BREATHABLE FABRIC: Crafted using premium quality breathable cotton blend fabric with durable stitching, soft-touch finish, fade-resistant stripes, and long-lasting comfort for active kids. 
* PLAYFUL PREMIUM AESTHETIC: Features pastel multicolor stripes, decorative ric rac trims, embroidered heart detail, coordinated top and shorts design, creating a chic premium summer coord outfit.
* EASY EVERYDAY MAINTENANCE: Gentle machine wash recommended. Package includes 1 striped top and 1 matching shorts. Ideal for vacations, casual outings, summer parties, playdates, and stylish everyday wear.</t>
        </is>
      </c>
      <c r="N199" s="48" t="inlineStr">
        <is>
          <t>Purple United Kids presents a thoughtfully designed Kids Girls Coord Set crafted for modern kids fashion lovers who enjoy playful styling with premium comfort. This stylish multicolor coord outfit combines pastel striped aesthetics, delicate detailing, and breathable comfort to create a standout summer-ready clothing set for girls. The coordinated top and shorts design delivers effortless styling for fashionable everyday dressing.
Made using soft breathable cotton blend fabric, this girls clothing set ensures lightweight comfort and skin-friendly wear throughout the day. The striped top features elegant ric rac detailing on sleeves and closure, delicate heart embroidery, comfortable short sleeves, and easy back button fastening for added convenience. The matching shorts include a flexible elasticated waistband and relaxed fit construction for unrestricted movement and superior comfort. Premium stitching quality and refined finishing enhance the luxurious appeal of this coord set for girls.
Designed for active lifestyles, this kids girls coord set balances comfort, durability, and contemporary style effortlessly. The breathable construction keeps kids cool during warmer days while the relaxed fit supports easy movement. The pastel stripe pattern paired with contrast trims creates a premium fashion-forward appearance inspired by elevated summer kidswear trends.
Perfect for vacations, casual outings, birthday celebrations, family gatherings, resort wear, playdates, photoshoots, and summer events, this kids clothing set combo offers versatile styling for multiple occasions. Pair with sneakers, sandals, or ballerinas for a complete premium fashion look.
Upgrade your child’s wardrobe with this premium Purple United Kids coord outfit designed for modern comfort and elevated summer styling. Refer to the size chart for the ideal fit. Gentle machine wash with similar colours recommended. Package includes 1 striped top and 1 matching shorts.</t>
        </is>
      </c>
      <c r="O199" s="50" t="inlineStr">
        <is>
          <t>*Soft breathable fabric keeps kids cool comfortably
*Stylish coordinated top and shorts for girls
*Elastic waistband ensures flexible all-day comfortable fit
*Lightweight durable fabric designed for everyday wear</t>
        </is>
      </c>
    </row>
    <row r="200">
      <c r="A200" s="42" t="n"/>
      <c r="B200" s="33" t="inlineStr">
        <is>
          <t>PGDRSS002827</t>
        </is>
      </c>
      <c r="C200" s="33" t="inlineStr">
        <is>
          <t>APPAREL</t>
        </is>
      </c>
      <c r="D200" s="33" t="inlineStr">
        <is>
          <t>DRESS</t>
        </is>
      </c>
      <c r="E200" s="33" t="inlineStr">
        <is>
          <t>KIDS GIRLS</t>
        </is>
      </c>
      <c r="F200" s="33" t="inlineStr">
        <is>
          <t>LT. PINK</t>
        </is>
      </c>
      <c r="G200" s="33" t="inlineStr">
        <is>
          <t>PGDRSS002827-LT. PINK</t>
        </is>
      </c>
      <c r="H200" s="49" t="inlineStr">
        <is>
          <t>Purple United Kids Girls Dress | Elegant Frill Styling | Layered Frill Neckline | Light Pink | Soft Breathable Fabric and Flared Summer Fit | Occasion Wear Dress for Girls</t>
        </is>
      </c>
      <c r="I200" s="48" t="inlineStr">
        <is>
          <t>Kids Girls Light Pink Dress</t>
        </is>
      </c>
      <c r="J200" s="49" t="inlineStr">
        <is>
          <t xml:space="preserve">Purple United Kids Girls Light Pink Layered Frill Neckline Flared Fit Comfort Wear Dress </t>
        </is>
      </c>
      <c r="K200" s="49" t="inlineStr">
        <is>
          <t>Kids Girls Dress in Light Pink with Layered Frill Neckline and Flared Fit for Summer Comfort</t>
        </is>
      </c>
      <c r="L200" s="49" t="inlineStr">
        <is>
          <t>Purple United Kids Girls Dress in Light Pink with Layered Frill Neckline and Flared Fit</t>
        </is>
      </c>
      <c r="M200" s="51" t="inlineStr">
        <is>
          <t>* PREMIUM FRILL STYLING: Premium Kids Girls Dress crafted in soft breathable fabric with elegant layered frill neckline, flared silhouette, and lightweight comfort for stylish summer outings, vacations, birthdays, and everyday premium wear.
* COMFORTABLE FIT &amp; FEEL: Designed for kids girls with a relaxed comfortable fit, elasticated shoulder straps, easy movement silhouette, and age-appropriate styling ideal for casual wear, parties, vacations, and festive occasions.
* SOFT &amp; DURABLE FABRIC: Made using high-quality durable fabric with soft-touch finish, neat stitching, fade-resistant colour retention, lightweight construction, and breathable comfort for long-lasting everyday and occasion wear.
* ELEGANT SUMMER DESIGN: Features layered frill detailing, soft colour, flowy flared hemline, chic premium aesthetic, and stylish summer-inspired design perfect for modern kids fashion wardrobes.
* EASY CARE &amp; PACKAGE CONTENT: Gentle machine wash recommended. Package includes 1 Kids Girls Dress with layered frill detailing and soft breathable fabric for premium everyday and party wear styling.</t>
        </is>
      </c>
      <c r="N200" s="48" t="inlineStr">
        <is>
          <t>Purple United Kids presents a premium Kids Girls Dress designed for modern young fashion lovers who enjoy stylish comfort and elevated everyday dressing. Crafted in a refreshing light shade with layered frill detailing and a soft flared silhouette, this elegant dress combines playful charm with premium kids fashion styling. Ideal for birthdays, vacations, casual outings, and everyday wear, this summer dress offers breathable comfort and lightweight movement for active kids.
This Kids Girls Dress is made using soft breathable fabric that feels gentle on delicate skin while offering lightweight comfort for all-day wear. The dress features layered frill detailing across the neckline and shoulders, elasticated shoulder straps for flexible comfort, and a flared hemline that enhances movement and flow. Premium stitching, soft-touch texture, durable construction, and fade-resistant colour help maintain the polished appearance even after repeated use. The lightweight silhouette makes it ideal for summer wear, while the easy slip-on styling adds convenience for kids and parents.
Designed for comfort, durability, and effortless elegance, this Kids Girls Dress offers a relaxed fit that allows easy movement during playtime, outings, and celebrations. The breathable fabric helps keep kids cool during warmer days, while the layered frill design adds premium fashion appeal inspired by modern luxury kidswear trends. The soft elasticated shoulder straps provide a secure yet flexible fit suitable for active kids.
Perfect for birthdays, festive gatherings, vacations, family outings, playdates, holiday dressing, and stylish everyday wear, this elegant light colour dress complements multiple occasions with ease. Pair it with sandals, ballerinas, or sneakers for versatile styling.
Gentle machine wash recommended. Refer to the size chart before purchase for the ideal fit. Package includes 1 Kids Girls Dress with layered frill detailing and soft breathable fabric.</t>
        </is>
      </c>
    </row>
    <row r="201">
      <c r="A201" s="42" t="n"/>
      <c r="B201" s="33" t="inlineStr">
        <is>
          <t>PGDRSS002827</t>
        </is>
      </c>
      <c r="C201" s="33" t="inlineStr">
        <is>
          <t>APPAREL</t>
        </is>
      </c>
      <c r="D201" s="33" t="inlineStr">
        <is>
          <t>DRESS</t>
        </is>
      </c>
      <c r="E201" s="33" t="inlineStr">
        <is>
          <t>KIDS GIRLS</t>
        </is>
      </c>
      <c r="F201" s="33" t="inlineStr">
        <is>
          <t>LT. GREEN</t>
        </is>
      </c>
      <c r="G201" s="33" t="inlineStr">
        <is>
          <t>PGDRSS002827-LT. GREEN</t>
        </is>
      </c>
      <c r="H201" s="49" t="inlineStr">
        <is>
          <t>Purple United Kids Girls Dress | Elegant Frill Styling | Layered Frill Neckline | Light Green | Soft Breathable Fabric and Flared Summer Fit | Occasion Wear Dress for Girls</t>
        </is>
      </c>
      <c r="I201" s="48" t="inlineStr">
        <is>
          <t>Kids Girls Light Green Dress</t>
        </is>
      </c>
      <c r="J201" s="49" t="inlineStr">
        <is>
          <t xml:space="preserve">Purple United Kids Girls Light Green Layered Frill Neckline Flared Fit Comfort Wear Dress </t>
        </is>
      </c>
      <c r="K201" s="49" t="inlineStr">
        <is>
          <t>Kids Girls Dress in Light Green with Layered Frill Neckline and Flared Fit for Summer Comfort</t>
        </is>
      </c>
      <c r="L201" s="49" t="inlineStr">
        <is>
          <t>Purple United Kids Girls Dress in Light Green with Layered Frill Neckline and Flared Fit</t>
        </is>
      </c>
      <c r="M201" s="51" t="inlineStr">
        <is>
          <t>* PREMIUM FRILL STYLING: Premium Kids Girls Dress crafted in soft breathable fabric with elegant layered frill neckline, flared silhouette, and lightweight comfort for stylish summer outings, vacations, birthdays, and everyday premium wear.
* COMFORTABLE FIT &amp; FEEL: Designed for kids girls with a relaxed comfortable fit, elasticated shoulder straps, easy movement silhouette, and age-appropriate styling ideal for casual wear, parties, vacations, and festive occasions.
* SOFT &amp; DURABLE FABRIC: Made using high-quality durable fabric with soft-touch finish, neat stitching, fade-resistant colour retention, lightweight construction, and breathable comfort for long-lasting everyday and occasion wear.
* ELEGANT SUMMER DESIGN: Features layered frill detailing, soft colour, flowy flared hemline, chic premium aesthetic, and stylish summer-inspired design perfect for modern kids fashion wardrobes.
* EASY CARE &amp; PACKAGE CONTENT: Gentle machine wash recommended. Package includes 1 Kids Girls Dress with layered frill detailing and soft breathable fabric for premium everyday and party wear styling.</t>
        </is>
      </c>
      <c r="N201" s="48" t="inlineStr">
        <is>
          <t>Purple United Kids presents a premium Kids Girls Dress designed for modern young fashion lovers who enjoy stylish comfort and elevated everyday dressing. Crafted in a refreshing light shade with layered frill detailing and a soft flared silhouette, this elegant dress combines playful charm with premium kids fashion styling. Ideal for birthdays, vacations, casual outings, and everyday wear, this summer dress offers breathable comfort and lightweight movement for active kids.
This Kids Girls Dress is made using soft breathable fabric that feels gentle on delicate skin while offering lightweight comfort for all-day wear. The dress features layered frill detailing across the neckline and shoulders, elasticated shoulder straps for flexible comfort, and a flared hemline that enhances movement and flow. Premium stitching, soft-touch texture, durable construction, and fade-resistant colour help maintain the polished appearance even after repeated use. The lightweight silhouette makes it ideal for summer wear, while the easy slip-on styling adds convenience for kids and parents.
Designed for comfort, durability, and effortless elegance, this Kids Girls Dress offers a relaxed fit that allows easy movement during playtime, outings, and celebrations. The breathable fabric helps keep kids cool during warmer days, while the layered frill design adds premium fashion appeal inspired by modern luxury kidswear trends. The soft elasticated shoulder straps provide a secure yet flexible fit suitable for active kids.
Perfect for birthdays, festive gatherings, vacations, family outings, playdates, holiday dressing, and stylish everyday wear, this elegant light colour dress complements multiple occasions with ease. Pair it with sandals, ballerinas, or sneakers for versatile styling.
Gentle machine wash recommended. Refer to the size chart before purchase for the ideal fit. Package includes 1 Kids Girls Dress with layered frill detailing and soft breathable fabric.</t>
        </is>
      </c>
    </row>
    <row r="202">
      <c r="A202" s="42" t="n"/>
      <c r="B202" s="34" t="inlineStr">
        <is>
          <t>PGTRCS002831</t>
        </is>
      </c>
      <c r="C202" s="33" t="inlineStr">
        <is>
          <t>APPAREL</t>
        </is>
      </c>
      <c r="D202" s="40" t="inlineStr">
        <is>
          <t>TROUSERS</t>
        </is>
      </c>
      <c r="E202" s="40" t="inlineStr">
        <is>
          <t>KIDS GIRLS</t>
        </is>
      </c>
      <c r="F202" s="34" t="inlineStr">
        <is>
          <t>BROWN</t>
        </is>
      </c>
      <c r="G202" s="34" t="inlineStr">
        <is>
          <t>PGTRCS002831-BROWN</t>
        </is>
      </c>
      <c r="H202" s="49" t="inlineStr">
        <is>
          <t>Purple United Kids Girls Trousers | Utility Cargo Style | Premium Cotton Twill Fabric | Brown | Wide Leg Fit with Tie-Up Waist &amp; Flap Pockets | Stylish Comfort Wear Trousers for Girls</t>
        </is>
      </c>
      <c r="I202" s="48" t="inlineStr">
        <is>
          <t>Girls Brown Cargo Trousers</t>
        </is>
      </c>
      <c r="J202" s="49" t="inlineStr">
        <is>
          <t>Purple United Kids Girls Brown Tie-Up Waist Utility Pockets Wide Leg Comfort Fit Trousers</t>
        </is>
      </c>
      <c r="K202" s="49" t="inlineStr">
        <is>
          <t>Kids Girls Trousers in Brown with Tie-Up Waist, Cargo Utility Pockets &amp; Wide Leg Comfort Fit</t>
        </is>
      </c>
      <c r="L202" s="49" t="inlineStr">
        <is>
          <t>Purple United Kids Girls Trousers in Brown with Tie-Up Waist &amp; Wide Leg Comfort Fit</t>
        </is>
      </c>
      <c r="M202" s="51" t="inlineStr">
        <is>
          <t>* PREMIUM COMFORT FABRIC: Crafted from premium cotton twill fabric, these Kids Girls Trousers deliver breathable comfort, a soft hand feel, and a structured wide-leg silhouette for elevated everyday styling.
* RELAXED FIT &amp; ADJUSTABLE WAIST: Designed for girls with a relaxed wide-leg fit, paperbag waistband, and adjustable tie-up belt that offers comfortable wear and easy movement throughout the day.
* DURABLE UTILITY CONSTRUCTION: Made with durable stitching, premium-quality fabric, secure metallic snap buttons, and reinforced utility pockets for long-lasting shape retention and everyday wear.
* MODERN CARGO-INSPIRED DESIGN: These cargo-inspired trousers for girls featuring utility flap pockets and modern wide-leg styling, perfect for casual outings, travel, vacations, and fashion-forward looks.
* EASY CARE &amp; PACKAGE CONTENT: Easy machine wash fabric with excellent colour retention and lasting softness. Package includes 1 pair of premium girls cargo trousers with tie-up waist detailing.</t>
        </is>
      </c>
      <c r="N202" s="48" t="inlineStr">
        <is>
          <t>Upgrade your child’s wardrobe with Purple United Kids Girls Trousers designed for modern comfort and elevated everyday style. Crafted for fashion-forward girls, these utility-inspired trousers combine premium tailoring with contemporary cargo aesthetics, making them an essential addition to versatile kidswear collections.
Made from high-quality cotton twill fabric, these trousers for girls provide a soft yet structured feel that ensures breathability, durability, and day-long comfort. The wide-leg silhouette offers effortless movement, while the paperbag waistband with tie-up detailing adds a refined premium touch. Functional cargo flap pockets and metallic snap accents enhance the overall utility-inspired styling.
These girls trousers are thoughtfully designed for active kids who need both comfort and style. The relaxed fit allows unrestricted movement, while the durable stitching and premium fabric construction maintain shape and quality even after repeated wear. Perfectly balancing fashion and practicality, these trousers create a polished statement look for modern kids.
Ideal for casual outings, vacations, family gatherings, shopping days, travel, and weekend styling, these Kids Girls Trousers pair beautifully with tops, crop tees, shirts, and fashion sandals. The elegant shade adds timeless versatility and premium appeal suitable across seasons.
Purple United Kids brings contemporary kids fashion with elevated detailing and superior comfort. For best fit, refer to the size guide before purchase. Easy to maintain with regular machine wash care. Package includes 1 stylish pair of premium trousers for girls with utility cargo pocket design.</t>
        </is>
      </c>
    </row>
    <row r="203">
      <c r="A203" s="42" t="n"/>
      <c r="B203" s="34" t="inlineStr">
        <is>
          <t>PGDRSS002865</t>
        </is>
      </c>
      <c r="C203" s="34" t="inlineStr">
        <is>
          <t>APPAREL</t>
        </is>
      </c>
      <c r="D203" s="34" t="inlineStr">
        <is>
          <t>DRESS</t>
        </is>
      </c>
      <c r="E203" s="34" t="inlineStr">
        <is>
          <t>KIDS GIRLS</t>
        </is>
      </c>
      <c r="F203" s="34" t="inlineStr">
        <is>
          <t>PEACH</t>
        </is>
      </c>
      <c r="G203" s="34" t="inlineStr">
        <is>
          <t>PGDRSS002865-PEACH</t>
        </is>
      </c>
      <c r="H203" s="49" t="inlineStr">
        <is>
          <t>Purple United Kids Girls Dress | Shirt Dress Style | Soft Cotton Fabric | Button Down Design | Peach | Comfortable Fit | Casual Summer Wear for Girls | Everyday Dress for Girls</t>
        </is>
      </c>
      <c r="I203" s="48" t="inlineStr">
        <is>
          <t>Kids Girls Peach Dress</t>
        </is>
      </c>
      <c r="J203" s="49" t="inlineStr">
        <is>
          <t>Purple United Kids Peach Soft Cotton Button Down Casual Everyday Wear Girls Dress</t>
        </is>
      </c>
      <c r="K203" s="49" t="inlineStr">
        <is>
          <t>Kids Girls Dress in Peach Cotton with Button Down Design for Casual Summer Wear</t>
        </is>
      </c>
      <c r="L203" s="49" t="inlineStr">
        <is>
          <t>Purple United Kids Girls Dress in Peach Cotton with Button Down for Casual Wear</t>
        </is>
      </c>
      <c r="M203" s="51" t="inlineStr">
        <is>
          <t>* PREMIUM COTTON COMFORT &amp; SOFT FEEL: Crafted from breathable cotton fabric, this kids girls dress offers superior comfort and softness, making it ideal for all-day wear during warm summer days while keeping your child cool and relaxed.
* SMART FIT WITH EASY BUTTON CLOSURE: Designed with a relaxed silhouette and front button-down closure, this girls dress ensures easy wear and removal while providing a comfortable fit for active kids and growing girls.
* DURABLE FABRIC WITH QUALITY STITCHING: Made using high-quality cotton with reinforced stitching, this dress for girls ensures long-lasting durability, maintaining its shape, color, and finish even after multiple washes.
* STYLISH SHIRT DRESS WITH EMBELLISHED DETAIL: Features a modern shirt dress design with chest pockets and subtle embellishment detail, giving it a premium look perfect for casual outings, vacations, and summer styling.
* EASY CARE &amp; EVERYDAY WEAR ESSENTIAL: Machine wash cold with similar colors, do not bleach. Includes 1 kids girls dress designed for everyday wear, making it a versatile addition to your child’s wardrobe.</t>
        </is>
      </c>
      <c r="N203" s="48" t="inlineStr">
        <is>
          <t>Upgrade your child’s wardrobe with this stylish kids girls dress in a refreshing shade, designed to bring together comfort and modern fashion. This cotton shirt dress is perfect for young girls who love easy, breezy outfits that look effortlessly stylish.
Made from soft and breathable cotton fabric, this dress features a classic shirt collar, front button-down closure, and short sleeves for enhanced comfort. The lightweight material ensures excellent airflow, while the structured stitching and premium finish add durability and long-lasting wear.
This girls dress is designed to offer maximum comfort without compromising on style. The relaxed fit allows free movement, making it perfect for active kids. The soft fabric feels gentle on the skin, while the durable construction ensures it stays in great condition even after repeated use.
Perfect for multiple occasions, this dress for girls works well for casual outings, family gatherings, vacations, and everyday wear. The elegant color and minimal embellishment make it suitable for both playful and slightly dressy moments.
Pair this summer dress for girls with sneakers or sandals for a complete look. Easy to maintain, simply machine wash with similar colors. This package includes 1 kids girls dress, making it a must-have staple for every girl's wardrobe.</t>
        </is>
      </c>
    </row>
    <row r="204">
      <c r="A204" s="42" t="n"/>
      <c r="B204" s="34" t="inlineStr">
        <is>
          <t>PGLWJS002855</t>
        </is>
      </c>
      <c r="C204" s="34" t="inlineStr">
        <is>
          <t>APPAREL</t>
        </is>
      </c>
      <c r="D204" s="34" t="inlineStr">
        <is>
          <t>LOWER</t>
        </is>
      </c>
      <c r="E204" s="34" t="inlineStr">
        <is>
          <t>KIDS GIRLS</t>
        </is>
      </c>
      <c r="F204" s="34" t="inlineStr">
        <is>
          <t>LT. PINK</t>
        </is>
      </c>
      <c r="G204" s="34" t="inlineStr">
        <is>
          <t>PGLWJS002855-LT. PINK</t>
        </is>
      </c>
      <c r="H204" s="49" t="inlineStr">
        <is>
          <t>Purple United Kids Girls Lower | Utility Cargo Design | Premium Relaxed Fit | Elasticated Waist | Adjustable Hem | Soft Durable Fabric | Light Pink | Summer Wear Lower for Girls</t>
        </is>
      </c>
      <c r="I204" s="48" t="inlineStr">
        <is>
          <t>Kids Girls Pink Cargo Lower</t>
        </is>
      </c>
      <c r="J204" s="49" t="inlineStr">
        <is>
          <t>Purple United Kids Girls Light Pink Cargo Pockets Relaxed Utility Fit Active Wear Lower</t>
        </is>
      </c>
      <c r="K204" s="49" t="inlineStr">
        <is>
          <t>Kids Girls Lower in Light Pink with Cargo Pockets and Relaxed Utility Fit for Active Wear</t>
        </is>
      </c>
      <c r="L204" s="49" t="inlineStr">
        <is>
          <t>Purple United Kids Girls Lower in Light Pink with Cargo Pockets and Relaxed Utility Fit</t>
        </is>
      </c>
      <c r="M204" s="51" t="inlineStr">
        <is>
          <t>* UTILITY CARGO STYLING: Premium lower for girls featuring trendy cargo pockets, relaxed wide-leg silhouette, adjustable hem detailing, and elevated street-style inspired fashion for stylish everyday wear.
* RELAXED COMFORT FIT: Designed with a soft elasticated waistband, roomy relaxed fit, and flexible movement comfort, making these kids girls lowers ideal for active all-day wear.
* SOFT DURABLE FABRIC: Crafted using premium breathable fabric with durable stitching, smooth texture, fade-resistant finish, and lightweight comfort suitable for everyday summer wear for girls.
* FUNCTIONAL PREMIUM DETAILS: Features spacious cargo flap pockets, gathered waistband detailing, adjustable ankle drawcords, clean panel construction, and modern utility-inspired styling for premium fashion appeal.
* EASY CARE &amp; PACKAGE CONTENT: Gentle machine wash recommended. Package includes 1 lower for girls with cargo pockets and adjustable hem design for versatile casual styling.</t>
        </is>
      </c>
      <c r="N204" s="48" t="inlineStr">
        <is>
          <t>Purple United Kids presents a premium lower for girls designed for modern kids who love elevated street-style fashion with all-day comfort. Crafted in a stylish light shade with utility cargo detailing and relaxed wide-leg construction, these trendy kids girls lowers blend contemporary fashion aesthetics with functional everyday wear. Perfect for stylish casual dressing, vacations, outings, and summer wear for girls.
Made using soft breathable premium fabric, these lowers offer lightweight comfort and flexible movement for active kids. The design features an elasticated paperbag waistband for a secure yet comfortable fit, spacious cargo flap pockets for utility-inspired styling, and adjustable drawcord hems that enhance the modern jogger-inspired silhouette. Durable stitching, smooth texture, fade-resistant colour, and premium finishing help maintain long-lasting quality and polished appearance.
Designed for versatile styling and comfort, this lower for girls delivers a relaxed fit suitable for everyday activities while maintaining a premium fashion-forward look. The breathable fabric helps keep kids comfortable during warmer weather, while the utility cargo styling adds a trendy urban-inspired aesthetic suitable for modern kids fashion.
Ideal for vacations, casual outings, travel, playdates, shopping trips, airport looks, and stylish daily wear, these kids girls lowers pair effortlessly with crop tops, oversized tees, sneakers, and summer essentials for elevated everyday dressing.
Gentle machine wash recommended. Refer to the size chart before purchase for the ideal fit. Package includes 1 lower for girls with cargo pockets, elasticated waistband, and adjustable hem detailing.</t>
        </is>
      </c>
    </row>
    <row r="205">
      <c r="A205" s="42" t="n"/>
      <c r="B205" s="34" t="inlineStr">
        <is>
          <t>PGLWJS002855</t>
        </is>
      </c>
      <c r="C205" s="34" t="inlineStr">
        <is>
          <t>APPAREL</t>
        </is>
      </c>
      <c r="D205" s="34" t="inlineStr">
        <is>
          <t>LOWER</t>
        </is>
      </c>
      <c r="E205" s="34" t="inlineStr">
        <is>
          <t>KIDS GIRLS</t>
        </is>
      </c>
      <c r="F205" s="34" t="inlineStr">
        <is>
          <t>OFF-WHITE</t>
        </is>
      </c>
      <c r="G205" s="34" t="inlineStr">
        <is>
          <t>PGLWJS002855-OFF-WHITE</t>
        </is>
      </c>
      <c r="H205" s="49" t="inlineStr">
        <is>
          <t>Purple United Kids Girls Lower | Utility Cargo Design | Premium Relaxed Fit | Elasticated Waist | Adjustable Hem | Soft Durable Fabric | Off White | Summer Wear Lower for Girls</t>
        </is>
      </c>
      <c r="I205" s="48" t="inlineStr">
        <is>
          <t>Kids Girls Cargo Fit Lower</t>
        </is>
      </c>
      <c r="J205" s="49" t="inlineStr">
        <is>
          <t>Purple United Kids Girls Off White Cargo Pockets Relaxed Utility Fit Active Wear Lower</t>
        </is>
      </c>
      <c r="K205" s="49" t="inlineStr">
        <is>
          <t>Kids Girls Lower in Off White with Cargo Pockets and Relaxed Utility Fit for Active Wear</t>
        </is>
      </c>
      <c r="L205" s="49" t="inlineStr">
        <is>
          <t>Purple United Kids Girls Lower in Off White with Cargo Pockets and Relaxed Utility Fit</t>
        </is>
      </c>
      <c r="M205" s="51" t="inlineStr">
        <is>
          <t>* UTILITY CARGO STYLING: Premium lower for girls featuring trendy cargo pockets, relaxed wide-leg silhouette, adjustable hem detailing, and elevated street-style inspired fashion for stylish everyday wear.
* RELAXED COMFORT FIT: Designed with a soft elasticated waistband, roomy relaxed fit, and flexible movement comfort, making these kids girls lowers ideal for active all-day wear.
* SOFT DURABLE FABRIC: Crafted using premium breathable fabric with durable stitching, smooth texture, fade-resistant finish, and lightweight comfort suitable for everyday summer wear for girls.
* FUNCTIONAL PREMIUM DETAILS: Features spacious cargo flap pockets, gathered waistband detailing, adjustable ankle drawcords, clean panel construction, and modern utility-inspired styling for premium fashion appeal.
* EASY CARE &amp; PACKAGE CONTENT: Gentle machine wash recommended. Package includes 1 lower for girls with cargo pockets and adjustable hem design for versatile casual styling.</t>
        </is>
      </c>
      <c r="N205" s="48" t="inlineStr">
        <is>
          <t>Purple United Kids presents a premium lower for girls designed for modern kids who love elevated street-style fashion with all-day comfort. Crafted in a stylish light shade with utility cargo detailing and relaxed wide-leg construction, these trendy kids girls lowers blend contemporary fashion aesthetics with functional everyday wear. Perfect for stylish casual dressing, vacations, outings, and summer wear for girls.
Made using soft breathable premium fabric, these lowers offer lightweight comfort and flexible movement for active kids. The design features an elasticated paperbag waistband for a secure yet comfortable fit, spacious cargo flap pockets for utility-inspired styling, and adjustable drawcord hems that enhance the modern jogger-inspired silhouette. Durable stitching, smooth texture, fade-resistant colour, and premium finishing help maintain long-lasting quality and polished appearance.
Designed for versatile styling and comfort, this lower for girls delivers a relaxed fit suitable for everyday activities while maintaining a premium fashion-forward look. The breathable fabric helps keep kids comfortable during warmer weather, while the utility cargo styling adds a trendy urban-inspired aesthetic suitable for modern kids fashion.
Ideal for vacations, casual outings, travel, playdates, shopping trips, airport looks, and stylish daily wear, these kids girls lowers pair effortlessly with crop tops, oversized tees, sneakers, and summer essentials for elevated everyday dressing.
Gentle machine wash recommended. Refer to the size chart before purchase for the ideal fit. Package includes 1 lower for girls with cargo pockets, elasticated waistband, and adjustable hem detailing.</t>
        </is>
      </c>
    </row>
    <row r="206">
      <c r="A206" s="42" t="n"/>
      <c r="B206" s="34" t="inlineStr">
        <is>
          <t>PBTSH003580</t>
        </is>
      </c>
      <c r="C206" s="34" t="inlineStr">
        <is>
          <t>APPAREL</t>
        </is>
      </c>
      <c r="D206" s="34" t="inlineStr">
        <is>
          <t xml:space="preserve">TSHIRT </t>
        </is>
      </c>
      <c r="E206" s="34" t="inlineStr">
        <is>
          <t>KIDS BOYS</t>
        </is>
      </c>
      <c r="F206" s="34" t="inlineStr">
        <is>
          <t>ORANGE</t>
        </is>
      </c>
      <c r="G206" s="34" t="inlineStr">
        <is>
          <t>PBTSH003580-ORANGE</t>
        </is>
      </c>
      <c r="H206" s="49" t="inlineStr">
        <is>
          <t>Purple United Kids Boys Tshirt | Beach Graphic Theme | Soft Breathable Cotton Feel Fabric | Half Sleeves &amp; Round Neck Design | Orange | Casual Summer Wear Tshirt For Boys</t>
        </is>
      </c>
      <c r="I206" s="48" t="inlineStr">
        <is>
          <t>Kids Boys Cotton Casual Tshirt</t>
        </is>
      </c>
      <c r="J206" s="49" t="inlineStr">
        <is>
          <t>Purple United Kids Boys Orange Graphic Print Breathable Fabric Casual Daily Wear Tshirt</t>
        </is>
      </c>
      <c r="K206" s="49" t="inlineStr">
        <is>
          <t>Kids Boys Tshirt in Orange with Graphic Print &amp; Soft Breathable Fabric for Casual Daily Wear</t>
        </is>
      </c>
      <c r="L206" s="49" t="inlineStr">
        <is>
          <t>Purple United Kids Boys Tshirt in Orange with Graphic Print &amp; Soft Breathable Fabric</t>
        </is>
      </c>
      <c r="M206" s="51" t="inlineStr">
        <is>
          <t>* PREMIUM GRAPHIC SUMMER STYLING: Soft and breathable Kids Boys Tshirt with premium jeep beach graphic print, designed for lightweight comfort and stylish everyday summer wear.
* RELAXED FIT &amp; ALL-DAY COMFORT: Relaxed fit tshirt for boys with half sleeves and classic crew neck styling, offering easy movement and comfortable all-day wear for active kids.
* SOFT FABRIC &amp; DURABLE QUALITY: Crafted from quality fabric with durable stitching and long-lasting graphic print that maintains softness, shape, and colour after regular washes.
* TRENDY BEACH INSPIRED DESIGN: Stylish orange tshirt for boys featuring jeep and tropical beach-inspired artwork, perfect for vacations, outings, casual wear, and summer styling.
* EASY CARE &amp; PACKAGE CONTENT: Machine wash cold with similar colours. Package contains 1 Kids Boys Tshirt designed for casual everyday wear and premium comfort.</t>
        </is>
      </c>
      <c r="N206" s="48" t="inlineStr">
        <is>
          <t>Purple United Kids presents a stylish Kids Boys Tshirt designed for boys who love playful graphics and comfortable everyday fashion. Crafted in a vibrant orange shade with premium jeep-inspired artwork, this tshirt for boys combines trendy summer styling with lightweight comfort. Perfect for vacations, outings, and casual everyday wear, this boys tshirt adds a stylish touch to modern kidswear wardrobes.
Made using soft breathable fabric, this Kids Boys Tshirt offers lightweight comfort and a smooth cotton feel suitable for all-day wear. The design features a classic crew neck, half sleeves, relaxed fit silhouette, and premium graphic print detailing that enhances the look. Durable stitching, breathable texture, soft-touch construction, and fade-resistant print quality help maintain comfort and appearance after repeated washes. The lightweight construction allows easy movement, making this tshirt ideal for active everyday use and warm-weather dressing.
Designed for comfort, durability, and effortless styling, this tshirt for boys provides a relaxed fit that supports unrestricted movement. The breathable fabric keeps kids cool and comfortable throughout the day, while the vibrant graphic artwork adds a trendy streetwear-inspired look. The versatile styling pairs easily with denim, joggers, shorts, and sneakers for elevated everyday fashion.
Perfect for vacations, park outings, birthday parties, casual gatherings, travel, summer activities, playdates, and stylish daily wear, this Kids Boys Tshirt delivers comfort with trend-focused design. The vibrant orange colour and premium graphic print create a standout casual fashion statement for modern kidswear collections.
Gentle machine wash recommended with similar colours. Refer to the size chart before purchase for the ideal fit. Package includes 1 Kids Boys Tshirt in orange with premium graphic print, half sleeves, breathable fabric, and relaxed fit styling for comfortable everyday wear.</t>
        </is>
      </c>
    </row>
    <row r="207">
      <c r="A207" s="42" t="n"/>
      <c r="B207" s="34" t="inlineStr">
        <is>
          <t>PBTSH003581</t>
        </is>
      </c>
      <c r="C207" s="34" t="inlineStr">
        <is>
          <t>APPAREL</t>
        </is>
      </c>
      <c r="D207" s="34" t="inlineStr">
        <is>
          <t xml:space="preserve">TSHIRT </t>
        </is>
      </c>
      <c r="E207" s="34" t="inlineStr">
        <is>
          <t>KIDS BOYS</t>
        </is>
      </c>
      <c r="F207" s="34" t="inlineStr">
        <is>
          <t>MUSTARD</t>
        </is>
      </c>
      <c r="G207" s="34" t="inlineStr">
        <is>
          <t>PBTSH003581-MUSTARD</t>
        </is>
      </c>
      <c r="H207" s="49" t="inlineStr">
        <is>
          <t>Purple United Kids Boys Tshirt | Streetwear Inspired Theme | Soft Breathable Fabric | Relaxed Fit | Crew Neck Design | Mustard | Premium Casual Everyday Wear Tshirt for Boys</t>
        </is>
      </c>
      <c r="I207" s="48" t="inlineStr">
        <is>
          <t>Kids Boys Round Neck Tshirt</t>
        </is>
      </c>
      <c r="J207" s="49" t="inlineStr">
        <is>
          <t>Purple United Kids Boys Mustard Relaxed Fit Soft Breathable Fabric Everyday Comfort Tshirt</t>
        </is>
      </c>
      <c r="K207" s="49" t="inlineStr">
        <is>
          <t>Kids Boys Tshirt in Mustard with Relaxed Fit &amp; Soft Breathable Fabric for Everyday Comfort</t>
        </is>
      </c>
      <c r="L207" s="49" t="inlineStr">
        <is>
          <t>Purple United Kids Boys Tshirt in Mustard with Relaxed Fit &amp; Soft Breathable Fabric</t>
        </is>
      </c>
      <c r="M207" s="51" t="inlineStr">
        <is>
          <t>* SOFT BREATHABLE COTTON COMFORT: Kids Boys Tshirt crafted in soft breathable cotton blend fabric for superior comfort and lightweight everyday wear. Smooth texture feels gentle on skin while ensuring airflow and flexibility for active kids throughout the day.
* RELAXED STREETWEAR INSPIRED FIT: Designed with a comfortable relaxed fit, classic crew neck, and short sleeves for effortless casual styling. Modern silhouette offers easy movement and gives this tshirt for boys a premium street-fashion inspired appearance.
* HIGH-QUALITY FABRIC &amp; LONG-LASTING PRINT: Made using durable fabric with premium stitching and fade-resistant graphic prints for long-lasting performance. Designed to maintain colour, softness, shape, and print quality even after repeated washes and everyday use.
* GRAPHIC STREET STYLE: Stylish boys tshirt featuring bold skateboard-inspired back graphic print with contemporary typography detailing. Trend-focused design adds an energetic urban fashion vibe suitable for modern kids styling and casual everyday wear.
* EASY EVERYDAY MAINTENANCE: Machine wash cold with similar colours, avoid bleach, and dry in shade for best fabric care. Package includes 1 Kids Boys Tshirt designed for comfort, durability, and premium everyday fashion styling.</t>
        </is>
      </c>
      <c r="N207" s="48" t="inlineStr">
        <is>
          <t>Purple United Kids presents this stylish Kids Boys Tshirt designed with bold skateboard-inspired graphic prints for elevated everyday fashion. Inspired by modern streetwear aesthetics, this tshirt for boys combines comfort, versatility, and trend-forward styling for young fashion enthusiasts.
Crafted with soft breathable cotton blend fabric, this casual t shirt for boys features a comfortable crew neck, relaxed fit, and short sleeves for easy all-day wear. The minimal front print paired with statement skateboard back graphic creates a premium designer-inspired look. Designed as a fashionable kids tshirt for boys, it offers smooth texture, durable stitching, and lightweight comfort suitable for active lifestyles.
This Kids Boys Tshirt delivers breathable comfort and unrestricted movement for daily activities, travel, outdoor play, and casual outings. The lightweight fabric keeps kids comfortable throughout the day, while the premium construction ensures long-lasting durability. Its versatile styling pairs effortlessly with jeans, joggers, shorts, and sneakers for modern everyday fashion.
Perfect for casual outings, vacations, weekend wear, school activities, travel, playdates, and everyday styling, this boys tshirt adds a bold street-style inspired look to every occasion. It works well as both relaxed daywear and fashionable casual wear for kids.
Upgrade your child’s wardrobe with this premium Kids Boys Tshirt from Purple United Kids. Refer to the size chart for the ideal fit. Machine wash with similar colours, avoid bleach, and dry in shade to maintain fabric softness and graphic print quality.</t>
        </is>
      </c>
    </row>
    <row r="208">
      <c r="A208" s="42" t="n"/>
      <c r="B208" s="34" t="inlineStr">
        <is>
          <t>PBTSH003582</t>
        </is>
      </c>
      <c r="C208" s="34" t="inlineStr">
        <is>
          <t>APPAREL</t>
        </is>
      </c>
      <c r="D208" s="34" t="inlineStr">
        <is>
          <t xml:space="preserve">TSHIRT </t>
        </is>
      </c>
      <c r="E208" s="34" t="inlineStr">
        <is>
          <t>KIDS BOYS</t>
        </is>
      </c>
      <c r="F208" s="34" t="inlineStr">
        <is>
          <t>OFF WHITE</t>
        </is>
      </c>
      <c r="G208" s="34" t="inlineStr">
        <is>
          <t>PBTSH003581-OFF WHITE</t>
        </is>
      </c>
      <c r="H208" s="49" t="inlineStr">
        <is>
          <t>Purple United Kids Boys Tshirt | Streetwear Inspired Theme | Soft Breathable Fabric | Relaxed Fit | Crew Neck Design | Off White | Premium Casual Everyday Wear Tshirt for Boys</t>
        </is>
      </c>
      <c r="I208" s="48" t="inlineStr">
        <is>
          <t>Kids Boys Round Neck Tshirt</t>
        </is>
      </c>
      <c r="J208" s="49" t="inlineStr">
        <is>
          <t>Purple United Kids Boys Off White Relaxed Fit Breathable Fabric Everyday Comfort Tshirt</t>
        </is>
      </c>
      <c r="K208" s="49" t="inlineStr">
        <is>
          <t>Kids Boys Tshirt in Off White with Relaxed Fit &amp; Soft Breathable Fabric for Everyday Comfort</t>
        </is>
      </c>
      <c r="L208" s="49" t="inlineStr">
        <is>
          <t>Purple United Kids Boys Tshirt in Off White with Relaxed Fit &amp; Soft Breathable Fabric</t>
        </is>
      </c>
      <c r="M208" s="51" t="inlineStr">
        <is>
          <t>* SOFT BREATHABLE COTTON COMFORT: Kids Boys Tshirt crafted in soft breathable cotton blend fabric for superior comfort and lightweight everyday wear. Smooth texture feels gentle on skin while ensuring airflow and flexibility for active kids throughout the day.
* RELAXED STREETWEAR INSPIRED FIT: Designed with a comfortable relaxed fit, classic crew neck, and short sleeves for effortless casual styling. Modern silhouette offers easy movement and gives this tshirt for boys a premium street-fashion inspired appearance.
* HIGH-QUALITY FABRIC &amp; LONG-LASTING PRINT: Made using durable fabric with premium stitching and fade-resistant graphic prints for long-lasting performance. Designed to maintain colour, softness, shape, and print quality even after repeated washes and everyday use.
* GRAPHIC STREET STYLE: Stylish boys tshirt featuring bold skateboard-inspired back graphic print with contemporary typography detailing. Trend-focused design adds an energetic urban fashion vibe suitable for modern kids styling and casual everyday wear.
* EASY EVERYDAY MAINTENANCE: Machine wash cold with similar colours, avoid bleach, and dry in shade for best fabric care. Package includes 1 Kids Boys Tshirt designed for comfort, durability, and premium everyday fashion styling.</t>
        </is>
      </c>
      <c r="N208" s="48" t="inlineStr">
        <is>
          <t>Purple United Kids presents this stylish Kids Boys Tshirt designed with bold skateboard-inspired graphic prints for elevated everyday fashion. Inspired by modern streetwear aesthetics, this tshirt for boys combines comfort, versatility, and trend-forward styling for young fashion enthusiasts.
Crafted with soft breathable cotton blend fabric, this casual t shirt for boys features a comfortable crew neck, relaxed fit, and short sleeves for easy all-day wear. The minimal front print paired with statement skateboard back graphic creates a premium designer-inspired look. Designed as a fashionable kids tshirt for boys, it offers smooth texture, durable stitching, and lightweight comfort suitable for active lifestyles.
This Kids Boys Tshirt delivers breathable comfort and unrestricted movement for daily activities, travel, outdoor play, and casual outings. The lightweight fabric keeps kids comfortable throughout the day, while the premium construction ensures long-lasting durability. Its versatile styling pairs effortlessly with jeans, joggers, shorts, and sneakers for modern everyday fashion.
Perfect for casual outings, vacations, weekend wear, school activities, travel, playdates, and everyday styling, this boys tshirt adds a bold street-style inspired look to every occasion. It works well as both relaxed daywear and fashionable casual wear for kids.
Upgrade your child’s wardrobe with this premium Kids Boys Tshirt from Purple United Kids. Refer to the size chart for the ideal fit. Machine wash with similar colours, avoid bleach, and dry in shade to maintain fabric softness and graphic print quality.</t>
        </is>
      </c>
    </row>
    <row r="209">
      <c r="A209" s="42" t="n"/>
      <c r="B209" s="34" t="inlineStr">
        <is>
          <t>PBTSH003582</t>
        </is>
      </c>
      <c r="C209" s="34" t="inlineStr">
        <is>
          <t>APPAREL</t>
        </is>
      </c>
      <c r="D209" s="34" t="inlineStr">
        <is>
          <t xml:space="preserve">TSHIRT </t>
        </is>
      </c>
      <c r="E209" s="34" t="inlineStr">
        <is>
          <t>KIDS BOYS</t>
        </is>
      </c>
      <c r="F209" s="34" t="inlineStr">
        <is>
          <t>RED</t>
        </is>
      </c>
      <c r="G209" s="34" t="inlineStr">
        <is>
          <t>PBTSH003581-RED</t>
        </is>
      </c>
      <c r="H209" s="49" t="inlineStr">
        <is>
          <t>Purple United Kids Boys Tshirt | Streetwear Inspired Theme | Soft Breathable Fabric | Relaxed Fit | Crew Neck Design | Red | Premium Casual Everyday Wear Tshirt for Boys</t>
        </is>
      </c>
      <c r="I209" s="48" t="inlineStr">
        <is>
          <t>Kids Boys Round Neck Tshirt</t>
        </is>
      </c>
      <c r="J209" s="49" t="inlineStr">
        <is>
          <t>Purple United Kids Boys Red Relaxed Fit Soft Breathable Fabric Everyday Comfort Tshirt</t>
        </is>
      </c>
      <c r="K209" s="49" t="inlineStr">
        <is>
          <t>Kids Boys Tshirt in Red with Relaxed Fit &amp; Soft Breathable Fabric for Everyday Comfort</t>
        </is>
      </c>
      <c r="L209" s="49" t="inlineStr">
        <is>
          <t>Purple United Kids Boys Tshirt in Red with Relaxed Fit &amp; Soft Breathable Fabric</t>
        </is>
      </c>
      <c r="M209" s="51" t="inlineStr">
        <is>
          <t>* SOFT BREATHABLE COTTON COMFORT: Kids Boys Tshirt crafted in soft breathable cotton blend fabric for superior comfort and lightweight everyday wear. Smooth texture feels gentle on skin while ensuring airflow and flexibility for active kids throughout the day.
* RELAXED STREETWEAR INSPIRED FIT: Designed with a comfortable relaxed fit, classic crew neck, and short sleeves for effortless casual styling. Modern silhouette offers easy movement and gives this tshirt for boys a premium street-fashion inspired appearance.
* HIGH-QUALITY FABRIC &amp; LONG-LASTING PRINT: Made using durable fabric with premium stitching and fade-resistant graphic prints for long-lasting performance. Designed to maintain colour, softness, shape, and print quality even after repeated washes and everyday use.
* GRAPHIC STREET STYLE: Stylish boys tshirt featuring bold skateboard-inspired back graphic print with contemporary typography detailing. Trend-focused design adds an energetic urban fashion vibe suitable for modern kids styling and casual everyday wear.
* EASY EVERYDAY MAINTENANCE: Machine wash cold with similar colours, avoid bleach, and dry in shade for best fabric care. Package includes 1 Kids Boys Tshirt designed for comfort, durability, and premium everyday fashion styling.</t>
        </is>
      </c>
      <c r="N209" s="48" t="inlineStr">
        <is>
          <t>Purple United Kids presents this stylish Kids Boys Tshirt designed with bold skateboard-inspired graphic prints for elevated everyday fashion. Inspired by modern streetwear aesthetics, this tshirt for boys combines comfort, versatility, and trend-forward styling for young fashion enthusiasts.
Crafted with soft breathable cotton blend fabric, this casual t shirt for boys features a comfortable crew neck, relaxed fit, and short sleeves for easy all-day wear. The minimal front print paired with statement skateboard back graphic creates a premium designer-inspired look. Designed as a fashionable kids tshirt for boys, it offers smooth texture, durable stitching, and lightweight comfort suitable for active lifestyles.
This Kids Boys Tshirt delivers breathable comfort and unrestricted movement for daily activities, travel, outdoor play, and casual outings. The lightweight fabric keeps kids comfortable throughout the day, while the premium construction ensures long-lasting durability. Its versatile styling pairs effortlessly with jeans, joggers, shorts, and sneakers for modern everyday fashion.
Perfect for casual outings, vacations, weekend wear, school activities, travel, playdates, and everyday styling, this boys tshirt adds a bold street-style inspired look to every occasion. It works well as both relaxed daywear and fashionable casual wear for kids.
Upgrade your child’s wardrobe with this premium Kids Boys Tshirt from Purple United Kids. Refer to the size chart for the ideal fit. Machine wash with similar colours, avoid bleach, and dry in shade to maintain fabric softness and graphic print quality.</t>
        </is>
      </c>
    </row>
    <row r="210">
      <c r="A210" s="42" t="n"/>
      <c r="B210" s="34" t="inlineStr">
        <is>
          <t>PGSKSS003290</t>
        </is>
      </c>
      <c r="C210" s="34" t="inlineStr">
        <is>
          <t>APPAREL</t>
        </is>
      </c>
      <c r="D210" s="34" t="inlineStr">
        <is>
          <t>SKORT</t>
        </is>
      </c>
      <c r="E210" s="34" t="inlineStr">
        <is>
          <t>KIDS GIRLS</t>
        </is>
      </c>
      <c r="F210" s="34" t="inlineStr">
        <is>
          <t>NAVY BLUE</t>
        </is>
      </c>
      <c r="G210" s="34" t="inlineStr">
        <is>
          <t>PGSKSS003290-NAVY BLUE</t>
        </is>
      </c>
      <c r="H210" s="49" t="inlineStr">
        <is>
          <t>Purple United Kids Girls Skort | Minimal Heart Accent | Soft Stretch Fabric | Wrap Style Design with Inner Shorts | Navy Blue | Premium Casual Kids Wear for All Day Comfort</t>
        </is>
      </c>
      <c r="I210" s="48" t="inlineStr">
        <is>
          <t>Kids Boys Round Neck Tshirt</t>
        </is>
      </c>
      <c r="J210" s="49" t="inlineStr">
        <is>
          <t>Purple United Kids Girls Navy Blue Wrap Style Soft Stretch Comfort Casual Daily Wear Skort</t>
        </is>
      </c>
      <c r="K210" s="49" t="inlineStr">
        <is>
          <t>Kids Girls Skort in Navy Blue with Wrap Style and Soft Stretch Comfort for Casual Kids Wear</t>
        </is>
      </c>
      <c r="L210" s="49" t="inlineStr">
        <is>
          <t>Purple United Kids Girls Skort in Navy Blue with Wrap Style and Soft Stretch Comfort</t>
        </is>
      </c>
      <c r="M210" s="51" t="inlineStr">
        <is>
          <t>* SOFT STRETCH COMFORT FABRIC: Kids Girls Skort crafted in soft stretch fabric for lightweight comfort and smooth everyday wear. Breathable texture feels gentle on skin while offering flexibility and ease of movement for active kids throughout the day.
* WRAP STYLE WITH INNER SHORTS: Designed with a stylish wrap silhouette and attached inner shorts for confident movement and comfortable coverage. Elasticated waistband ensures a secure fit while maintaining a premium modern look for casual fashion styling.
* PREMIUM STITCHING &amp; LASTING SHAPE: Made using durable fabric with high-quality stitching for long-lasting wear and shape retention. Designed to maintain softness, structure, and colour even after repeated washes and regular everyday use.
* MINIMAL PREMIUM FASHION LOOK: Elegant Skort for girls featuring a clean contemporary silhouette with refined heart-shaped metallic accent detailing. Premium minimal styling adds a sophisticated modern fashion touch suitable for versatile casual wear.
* EASY EVERYDAY MAINTENANCE: Machine wash cold with similar colours, avoid bleach, and dry in shade for best fabric care. Package includes 1 Kids Girls Skort designed for comfort, durability, and premium everyday fashion styling.</t>
        </is>
      </c>
      <c r="N210" s="48" t="inlineStr">
        <is>
          <t>Purple United Kids presents this stylish Kids Girls Skort designed with a modern wrap-style silhouette for elevated everyday fashion. Combining premium comfort with minimal contemporary aesthetics, this skort for girls delivers versatile styling for young trend-focused wardrobes.
Crafted with soft stretch fabric, this short skort for girls features an elasticated waistband, wrap-front styling, and attached inner shorts for enhanced comfort and confident movement. The smooth texture and premium construction provide lightweight everyday wearability, while the metallic heart accent detail adds refined fashion appeal. Designed as a premium kids girls skort, it offers flexibility, durability, and effortless modern styling.
This Kids Girls Skort provides breathable comfort and unrestricted movement for casual outings, playtime, vacations, and daily activities. The stretch fabric ensures easy mobility while the premium stitching supports long-lasting durability. Its versatile silhouette pairs effortlessly with tops, tshirts, shirts, and sneakers for fashionable everyday styling.
Perfect for casual outings, holidays, birthday parties, travel, playdates, summer activities, and everyday wear, this girls skort adds a polished contemporary touch to every occasion. It works well as both relaxed daywear and stylish casual fashion for kids.
Upgrade your child’s wardrobe with this premium Kids Girls Skort from Purple United Kids. Refer to the size chart for the ideal fit. Machine wash with similar colours, avoid bleach, and dry in shade to maintain fabric softness, colour quality, and overall garment finish.</t>
        </is>
      </c>
    </row>
    <row r="211">
      <c r="A211" s="42" t="n"/>
      <c r="B211" s="34" t="inlineStr">
        <is>
          <t>PGSKSS003290</t>
        </is>
      </c>
      <c r="C211" s="34" t="inlineStr">
        <is>
          <t>APPAREL</t>
        </is>
      </c>
      <c r="D211" s="34" t="inlineStr">
        <is>
          <t>SKORT</t>
        </is>
      </c>
      <c r="E211" s="34" t="inlineStr">
        <is>
          <t>KIDS GIRLS</t>
        </is>
      </c>
      <c r="F211" s="34" t="inlineStr">
        <is>
          <t>YELLOW</t>
        </is>
      </c>
      <c r="G211" s="34" t="inlineStr">
        <is>
          <t>PGSKSS003290-YELLOW</t>
        </is>
      </c>
      <c r="H211" s="49" t="inlineStr">
        <is>
          <t>Purple United Kids Girls Skort | Minimal Heart Accent | Soft Stretch Fabric | Wrap Style Design with Inner Shorts | Yellow | Premium Casual Kids Wear for All Day Comfort</t>
        </is>
      </c>
      <c r="I211" s="48" t="inlineStr">
        <is>
          <t>Kids Girls Yellow Wrap Skort</t>
        </is>
      </c>
      <c r="J211" s="49" t="inlineStr">
        <is>
          <t>Purple United Kids Girls Yellow Wrap Style Soft Stretch Comfort Casual Daily Wear Skort</t>
        </is>
      </c>
      <c r="K211" s="49" t="inlineStr">
        <is>
          <t>Kids Girls Skort in Yellow with Wrap Style and Soft Stretch Comfort for Casual Kids Wear</t>
        </is>
      </c>
      <c r="L211" s="49" t="inlineStr">
        <is>
          <t>Purple United Kids Girls Skort in Yellow with Wrap Style and Soft Stretch Comfort</t>
        </is>
      </c>
      <c r="M211" s="51" t="inlineStr">
        <is>
          <t>* SOFT STRETCH COMFORT FABRIC: Kids Girls Skort crafted in soft stretch fabric for lightweight comfort and smooth everyday wear. Breathable texture feels gentle on skin while offering flexibility and ease of movement for active kids throughout the day.
* WRAP STYLE WITH INNER SHORTS: Designed with a stylish wrap silhouette and attached inner shorts for confident movement and comfortable coverage. Elasticated waistband ensures a secure fit while maintaining a premium modern look for casual fashion styling.
* PREMIUM STITCHING &amp; LASTING SHAPE: Made using durable fabric with high-quality stitching for long-lasting wear and shape retention. Designed to maintain softness, structure, and colour even after repeated washes and regular everyday use.
* MINIMAL PREMIUM FASHION LOOK: Elegant Skort for girls featuring a clean contemporary silhouette with refined heart-shaped metallic accent detailing. Premium minimal styling adds a sophisticated modern fashion touch suitable for versatile casual wear.
* EASY EVERYDAY MAINTENANCE: Machine wash cold with similar colours, avoid bleach, and dry in shade for best fabric care. Package includes 1 Kids Girls Skort designed for comfort, durability, and premium everyday fashion styling.</t>
        </is>
      </c>
      <c r="N211" s="48" t="inlineStr">
        <is>
          <t>Purple United Kids presents this stylish Kids Girls Skort designed with a modern wrap-style silhouette for elevated everyday fashion. Combining premium comfort with minimal contemporary aesthetics, this skort for girls delivers versatile styling for young trend-focused wardrobes.
Crafted with soft stretch fabric, this short skort for girls features an elasticated waistband, wrap-front styling, and attached inner shorts for enhanced comfort and confident movement. The smooth texture and premium construction provide lightweight everyday wearability, while the metallic heart accent detail adds refined fashion appeal. Designed as a premium kids girls skort, it offers flexibility, durability, and effortless modern styling.
This Kids Girls Skort provides breathable comfort and unrestricted movement for casual outings, playtime, vacations, and daily activities. The stretch fabric ensures easy mobility while the premium stitching supports long-lasting durability. Its versatile silhouette pairs effortlessly with tops, tshirts, shirts, and sneakers for fashionable everyday styling.
Perfect for casual outings, holidays, birthday parties, travel, playdates, summer activities, and everyday wear, this girls skort adds a polished contemporary touch to every occasion. It works well as both relaxed daywear and stylish casual fashion for kids.
Upgrade your child’s wardrobe with this premium Kids Girls Skort from Purple United Kids. Refer to the size chart for the ideal fit. Machine wash with similar colours, avoid bleach, and dry in shade to maintain fabric softness, colour quality, and overall garment finish.</t>
        </is>
      </c>
    </row>
    <row r="212">
      <c r="A212" s="42" t="n"/>
      <c r="B212" s="34" t="inlineStr">
        <is>
          <t>PGSHSS003280</t>
        </is>
      </c>
      <c r="C212" s="34" t="inlineStr">
        <is>
          <t>APPAREL</t>
        </is>
      </c>
      <c r="D212" s="34" t="inlineStr">
        <is>
          <t>SHORTS</t>
        </is>
      </c>
      <c r="E212" s="34" t="inlineStr">
        <is>
          <t>KIDS GIRLS</t>
        </is>
      </c>
      <c r="F212" s="34" t="inlineStr">
        <is>
          <t>BLUE</t>
        </is>
      </c>
      <c r="G212" s="34" t="inlineStr">
        <is>
          <t>PGSHSS003280-BLUE</t>
        </is>
      </c>
      <c r="H212" s="49" t="inlineStr">
        <is>
          <t>Purple United Kids Girls Shorts | Minimal Summer Style | Crinkle Textured Fabric | Elastic Waist Comfort Fit | Blue | Premium Lightweight Casual Wear Shorts for Girls</t>
        </is>
      </c>
      <c r="I212" s="48" t="inlineStr">
        <is>
          <t>Kids Girls Textured Shorts</t>
        </is>
      </c>
      <c r="J212" s="49" t="inlineStr">
        <is>
          <t>Purple United Kids Girls Blue Textured Fabric Soft Comfort Fit Casual Daily Wear Shorts</t>
        </is>
      </c>
      <c r="K212" s="49" t="inlineStr">
        <is>
          <t>Kids Girls Shorts in Blue with Textured Fabric and Soft Comfort Fit for Summer Wear</t>
        </is>
      </c>
      <c r="L212" s="49" t="inlineStr">
        <is>
          <t>Purple United Kids Girls Shorts in Blue with Textured Fabric and Soft Comfort Fit</t>
        </is>
      </c>
      <c r="M212" s="51" t="inlineStr">
        <is>
          <t>* LIGHTWEIGHT TEXTURED SUMMER FABRIC: Kids Girls Shorts crafted in lightweight textured fabric for breathable comfort and smooth everyday wear. Soft-touch material feels gentle on skin while providing airflow and flexibility for active summer movement.
* RELAXED FIT WITH ELASTIC WAIST: Designed with a relaxed silhouette and stretchable elastic waistband for a secure yet comfortable fit. Adjustable drawstring detail enhances functionality while maintaining a premium minimal fashion look for modern kids styling.
* PREMIUM STITCHING &amp; LASTING COMFORT: Made using durable fabric with high-quality stitching for long-lasting wear and shape retention. Designed to maintain softness, texture, and colour quality even after repeated washes and regular use.
* MINIMAL RESORT INSPIRED LOOK: Elegant shorts for girls featuring refined textured detailing and clean contemporary styling. Premium minimal aesthetic delivers a sophisticated resort-inspired fashion appeal suitable for elevated casual wear.
* EASY EVERYDAY MAINTENANCE: Machine wash cold with similar colours, avoid bleach, and dry in shade for best fabric care. Package includes 1 Kids Girls Shorts designed for comfort, durability, and premium everyday fashion styling.</t>
        </is>
      </c>
      <c r="N212" s="48" t="inlineStr">
        <is>
          <t>Purple United Kids presents these stylish Kids Girls Shorts designed with premium textured fabric for elevated everyday comfort. Inspired by minimal resort-style aesthetics, these shorts for girls combine lightweight functionality with modern fashion appeal for versatile summer wardrobes.
Crafted with breathable crinkle textured fabric, these girls shorts feature a stretchable elastic waistband, adjustable drawstring detailing, and a relaxed fit for easy all-day wear. The soft lightweight construction ensures enhanced comfort and unrestricted movement, while the clean minimal styling adds a premium contemporary touch. Designed as fashionable kids shorts, they deliver flexibility, durability, and effortless casual sophistication.
These Kids Girls Shorts provide breathable comfort and easy mobility for daily activities, vacations, outdoor play, and summer outings. The lightweight fabric keeps kids comfortable throughout warm weather, while the premium stitching ensures long-lasting durability. Their versatile styling pairs effortlessly with tops, tshirts, shirts, and sneakers for polished casual fashion.
Perfect for holidays, casual outings, beach vacations, playdates, travel, summer activities, and relaxed everyday wear, these shorts for girls add a refined minimal touch to every occasion. They work well as both comfortable daywear and stylish vacation essentials for kids.
Upgrade your child’s wardrobe with these premium Kids Girls Shorts from Purple United Kids. Refer to the size chart for the ideal fit. Machine wash with similar colours, avoid bleach, and dry in shade to maintain fabric texture, softness, and garment quality.</t>
        </is>
      </c>
    </row>
    <row r="213">
      <c r="A213" s="42" t="n"/>
      <c r="B213" s="34" t="inlineStr">
        <is>
          <t>PGSHSS003280</t>
        </is>
      </c>
      <c r="C213" s="34" t="inlineStr">
        <is>
          <t>APPAREL</t>
        </is>
      </c>
      <c r="D213" s="34" t="inlineStr">
        <is>
          <t>SHORTS</t>
        </is>
      </c>
      <c r="E213" s="34" t="inlineStr">
        <is>
          <t>KIDS GIRLS</t>
        </is>
      </c>
      <c r="F213" s="34" t="inlineStr">
        <is>
          <t>PINK</t>
        </is>
      </c>
      <c r="G213" s="34" t="inlineStr">
        <is>
          <t>PGSHSS003280-PINK</t>
        </is>
      </c>
      <c r="H213" s="49" t="inlineStr">
        <is>
          <t>Purple United Kids Girls Shorts | Minimal Summer Style | Crinkle Textured Fabric | Elastic Waist Comfort Fit | Pink | Premium Lightweight Casual Wear Shorts for Girls</t>
        </is>
      </c>
      <c r="I213" s="48" t="inlineStr">
        <is>
          <t>Kids Girls Textured Shorts</t>
        </is>
      </c>
      <c r="J213" s="49" t="inlineStr">
        <is>
          <t>Purple United Kids Girls Pink Textured Fabric Soft Comfort Fit Casual Daily Wear Shorts</t>
        </is>
      </c>
      <c r="K213" s="49" t="inlineStr">
        <is>
          <t>Kids Girls Shorts in Pink with Textured Fabric and Soft Comfort Fit for Summer Wear</t>
        </is>
      </c>
      <c r="L213" s="49" t="inlineStr">
        <is>
          <t>Purple United Kids Girls Shorts in Pink with Textured Fabric and Soft Comfort Fit</t>
        </is>
      </c>
      <c r="M213" s="51" t="inlineStr">
        <is>
          <t>* LIGHTWEIGHT TEXTURED SUMMER FABRIC: Kids Girls Shorts crafted in lightweight textured fabric for breathable comfort and smooth everyday wear. Soft-touch material feels gentle on skin while providing airflow and flexibility for active summer movement.
* RELAXED FIT WITH ELASTIC WAIST: Designed with a relaxed silhouette and stretchable elastic waistband for a secure yet comfortable fit. Adjustable drawstring detail enhances functionality while maintaining a premium minimal fashion look for modern kids styling.
* PREMIUM STITCHING &amp; LASTING COMFORT: Made using durable fabric with high-quality stitching for long-lasting wear and shape retention. Designed to maintain softness, texture, and colour quality even after repeated washes and regular use.
* MINIMAL RESORT INSPIRED LOOK: Elegant shorts for girls featuring refined textured detailing and clean contemporary styling. Premium minimal aesthetic delivers a sophisticated resort-inspired fashion appeal suitable for elevated casual wear.
* EASY EVERYDAY MAINTENANCE: Machine wash cold with similar colours, avoid bleach, and dry in shade for best fabric care. Package includes 1 Kids Girls Shorts designed for comfort, durability, and premium everyday fashion styling.</t>
        </is>
      </c>
      <c r="N213" s="48" t="inlineStr">
        <is>
          <t>Purple United Kids presents these stylish Kids Girls Shorts designed with premium textured fabric for elevated everyday comfort. Inspired by minimal resort-style aesthetics, these shorts for girls combine lightweight functionality with modern fashion appeal for versatile summer wardrobes.
Crafted with breathable crinkle textured fabric, these girls shorts feature a stretchable elastic waistband, adjustable drawstring detailing, and a relaxed fit for easy all-day wear. The soft lightweight construction ensures enhanced comfort and unrestricted movement, while the clean minimal styling adds a premium contemporary touch. Designed as fashionable kids shorts, they deliver flexibility, durability, and effortless casual sophistication.
These Kids Girls Shorts provide breathable comfort and easy mobility for daily activities, vacations, outdoor play, and summer outings. The lightweight fabric keeps kids comfortable throughout warm weather, while the premium stitching ensures long-lasting durability. Their versatile styling pairs effortlessly with tops, tshirts, shirts, and sneakers for polished casual fashion.
Perfect for holidays, casual outings, beach vacations, playdates, travel, summer activities, and relaxed everyday wear, these shorts for girls add a refined minimal touch to every occasion. They work well as both comfortable daywear and stylish vacation essentials for kids.
Upgrade your child’s wardrobe with these premium Kids Girls Shorts from Purple United Kids. Refer to the size chart for the ideal fit. Machine wash with similar colours, avoid bleach, and dry in shade to maintain fabric texture, softness, and garment quality.</t>
        </is>
      </c>
    </row>
    <row r="214">
      <c r="A214" s="42" t="n"/>
      <c r="B214" s="34" t="inlineStr">
        <is>
          <t>PGTOPS003150</t>
        </is>
      </c>
      <c r="C214" s="34" t="inlineStr">
        <is>
          <t>APPAREL</t>
        </is>
      </c>
      <c r="D214" s="34" t="inlineStr">
        <is>
          <t>TOP</t>
        </is>
      </c>
      <c r="E214" s="34" t="inlineStr">
        <is>
          <t>KIDS GIRLS</t>
        </is>
      </c>
      <c r="F214" s="34" t="inlineStr">
        <is>
          <t>GREY</t>
        </is>
      </c>
      <c r="G214" s="34" t="inlineStr">
        <is>
          <t>PGTOPS003150-GREY</t>
        </is>
      </c>
      <c r="H214" s="49" t="inlineStr">
        <is>
          <t>Purple United Kids Girls Top | Feminine Summer Style | Soft Textured Fabric | Smocked Puff Sleeve Design | Grey | Premium Lightweight Casual Wear Top for Girls</t>
        </is>
      </c>
      <c r="I214" s="48" t="inlineStr">
        <is>
          <t>Kids Girls Grey Smocked Top</t>
        </is>
      </c>
      <c r="J214" s="49" t="inlineStr">
        <is>
          <t>Purple United Kids Girls Grey Smocked Fit Puff Sleeves Soft Fabric Casual Styling Top</t>
        </is>
      </c>
      <c r="K214" s="49" t="inlineStr">
        <is>
          <t>Kids Girls Top in Grey with Smocked Fit and Puff Sleeves for Summer Casual Styling</t>
        </is>
      </c>
      <c r="L214" s="49" t="inlineStr">
        <is>
          <t>Purple United Kids Girls Top in Grey with Smocked Fit &amp; Puff Sleeves for Summers</t>
        </is>
      </c>
      <c r="M214" s="51" t="inlineStr">
        <is>
          <t>* SOFT LIGHTWEIGHT SUMMER FABRIC: Kids Girls Top crafted in soft lightweight textured fabric for breathable comfort and smooth everyday wear. Gentle fabric feels soft on skin while offering airflow and flexibility suitable for warm-weather styling.
* SMOCKED FIT WITH PUFF SLEEVES: Designed with an all-over smocked bodice and elegant puff sleeves for a comfortable stretch fit and premium feminine silhouette. Elasticated structure ensures flexibility while maintaining a polished fashionable appearance.
* PREMIUM STITCHING &amp; LASTING SHAPE: Made using durable fabric with high-quality stitching for long-lasting wear and shape retention. Designed to maintain softness, stretch recovery, and colour quality even after repeated washes and regular use.
* ELEGANT CONTEMPORARY SUMMER LOOK: Stylish top for girls featuring refined smocked detailing, subtle frill hem styling, and a sophisticated minimal aesthetic. Contemporary silhouette adds elevated premium fashion appeal for modern kids wardrobes.
* EASY EVERYDAY MAINTENANCE: Machine wash cold with similar colours, avoid bleach, and dry in shade for best fabric care. Package includes 1 Kids Girls Top designed for comfort, durability, and premium everyday styling.</t>
        </is>
      </c>
      <c r="N214" s="48" t="inlineStr">
        <is>
          <t>Purple United Kids presents this elegant Kids Girls Top designed with premium smocked styling for elevated summer fashion. Inspired by modern feminine silhouettes, this top for girls combines breathable comfort with sophisticated contemporary appeal for stylish everyday dressing.
Crafted with lightweight textured fabric, this stylish top for girls features a stretchable smocked bodice, puff sleeves, and delicate frill hem detailing for a refined fashionable look. The soft breathable construction provides enhanced comfort and flexibility, while the premium silhouette creates an elevated designer-inspired appearance. Designed as a premium kids girls top, it delivers comfort, durability, and effortless modern styling.
This Kids Girls Top provides breathable comfort and unrestricted movement for daily wear, vacations, outings, and summer activities. The stretch-fit design adapts comfortably for active movement while maintaining a polished appearance. Its versatile styling pairs effortlessly with skirts, shorts, jeans, and trousers for fashionable casual dressing.
Perfect for casual outings, holidays, birthday celebrations, vacations, family gatherings, summer events, and stylish everyday wear, this girls top adds an elegant contemporary touch to every occasion. It works beautifully as both relaxed daywear and elevated casual fashion for kids.
Upgrade your child’s wardrobe with this premium Kids Girls Top from Purple United Kids. Refer to the size chart for the ideal fit. Machine wash with similar colours, avoid bleach, and dry in shade to maintain fabric softness, structure, and garment quality.</t>
        </is>
      </c>
    </row>
    <row r="215">
      <c r="A215" s="42" t="n"/>
      <c r="B215" s="34" t="inlineStr">
        <is>
          <t>PGTOPS003150</t>
        </is>
      </c>
      <c r="C215" s="34" t="inlineStr">
        <is>
          <t>APPAREL</t>
        </is>
      </c>
      <c r="D215" s="34" t="inlineStr">
        <is>
          <t>TOP</t>
        </is>
      </c>
      <c r="E215" s="34" t="inlineStr">
        <is>
          <t>KIDS GIRLS</t>
        </is>
      </c>
      <c r="F215" s="34" t="inlineStr">
        <is>
          <t>LT. BLUE</t>
        </is>
      </c>
      <c r="G215" s="34" t="inlineStr">
        <is>
          <t>PGTOPS003150-LT. BLUE</t>
        </is>
      </c>
      <c r="H215" s="49" t="inlineStr">
        <is>
          <t>Purple United Kids Girls Top | Feminine Summer Style | Soft Textured Fabric | Smocked Puff Sleeve Design | Light Blue | Premium Lightweight Casual Wear Top for Girls</t>
        </is>
      </c>
      <c r="I215" s="48" t="inlineStr">
        <is>
          <t>Kids Girls Blue Smocked Top</t>
        </is>
      </c>
      <c r="J215" s="49" t="inlineStr">
        <is>
          <t>Purple United Kids Girls Light Blue Smocked Fit Puff Sleeves Soft Fabric Casual Wear Top</t>
        </is>
      </c>
      <c r="K215" s="49" t="inlineStr">
        <is>
          <t>Kids Girls Top in Light Blue with Smocked Fit and Puff Sleeves for Summer Casual Styling</t>
        </is>
      </c>
      <c r="L215" s="49" t="inlineStr">
        <is>
          <t>Purple United Kids Girls Top in Light Blue with Smocked Fit &amp; Puff Sleeves for Summers</t>
        </is>
      </c>
      <c r="M215" s="51" t="inlineStr">
        <is>
          <t>* SOFT LIGHTWEIGHT SUMMER FABRIC: Kids Girls Top crafted in soft lightweight textured fabric for breathable comfort and smooth everyday wear. Gentle fabric feels soft on skin while offering airflow and flexibility suitable for warm-weather styling.
* SMOCKED FIT WITH PUFF SLEEVES: Designed with an all-over smocked bodice and elegant puff sleeves for a comfortable stretch fit and premium feminine silhouette. Elasticated structure ensures flexibility while maintaining a polished fashionable appearance.
* PREMIUM STITCHING &amp; LASTING SHAPE: Made using durable fabric with high-quality stitching for long-lasting wear and shape retention. Designed to maintain softness, stretch recovery, and colour quality even after repeated washes and regular use.
* ELEGANT CONTEMPORARY SUMMER LOOK: Stylish top for girls featuring refined smocked detailing, subtle frill hem styling, and a sophisticated minimal aesthetic. Contemporary silhouette adds elevated premium fashion appeal for modern kids wardrobes.
* EASY EVERYDAY MAINTENANCE: Machine wash cold with similar colours, avoid bleach, and dry in shade for best fabric care. Package includes 1 Kids Girls Top designed for comfort, durability, and premium everyday styling.</t>
        </is>
      </c>
      <c r="N215" s="48" t="inlineStr">
        <is>
          <t>Purple United Kids presents this elegant Kids Girls Top designed with premium smocked styling for elevated summer fashion. Inspired by modern feminine silhouettes, this top for girls combines breathable comfort with sophisticated contemporary appeal for stylish everyday dressing.
Crafted with lightweight textured fabric, this stylish top for girls features a stretchable smocked bodice, puff sleeves, and delicate frill hem detailing for a refined fashionable look. The soft breathable construction provides enhanced comfort and flexibility, while the premium silhouette creates an elevated designer-inspired appearance. Designed as a premium kids girls top, it delivers comfort, durability, and effortless modern styling.
This Kids Girls Top provides breathable comfort and unrestricted movement for daily wear, vacations, outings, and summer activities. The stretch-fit design adapts comfortably for active movement while maintaining a polished appearance. Its versatile styling pairs effortlessly with skirts, shorts, jeans, and trousers for fashionable casual dressing.
Perfect for casual outings, holidays, birthday celebrations, vacations, family gatherings, summer events, and stylish everyday wear, this girls top adds an elegant contemporary touch to every occasion. It works beautifully as both relaxed daywear and elevated casual fashion for kids.
Upgrade your child’s wardrobe with this premium Kids Girls Top from Purple United Kids. Refer to the size chart for the ideal fit. Machine wash with similar colours, avoid bleach, and dry in shade to maintain fabric softness, structure, and garment quality.</t>
        </is>
      </c>
    </row>
    <row r="216">
      <c r="A216" s="42" t="n"/>
      <c r="B216" s="34" t="inlineStr">
        <is>
          <t>PGDRSS000095</t>
        </is>
      </c>
      <c r="C216" s="34" t="inlineStr">
        <is>
          <t>APPAREL</t>
        </is>
      </c>
      <c r="D216" s="34" t="inlineStr">
        <is>
          <t>DRESS</t>
        </is>
      </c>
      <c r="E216" s="34" t="inlineStr">
        <is>
          <t>KIDS GIRLS</t>
        </is>
      </c>
      <c r="F216" s="34" t="inlineStr">
        <is>
          <t>LT. PINK</t>
        </is>
      </c>
      <c r="G216" s="34" t="inlineStr">
        <is>
          <t>PGDRSS000095-LT. PINK</t>
        </is>
      </c>
      <c r="H216" s="49" t="inlineStr">
        <is>
          <t>Purple United Kids Girls Dress | Elegant Floral Embroidered | Soft Textured Breathable Fabric | Ruffle Sleeve Detail | Light Pink | Premium Lightweight Party &amp; Summer Wear Dress for Girls</t>
        </is>
      </c>
      <c r="I216" s="48" t="inlineStr">
        <is>
          <t>Kids Girls Pink Floral Dress</t>
        </is>
      </c>
      <c r="J216" s="49" t="inlineStr">
        <is>
          <t>Purple United Kids Girls Light Pink Floral Embroidery Ruffle Sleeves Comfort Wear Dress</t>
        </is>
      </c>
      <c r="K216" s="49" t="inlineStr">
        <is>
          <t>Kids Girls Dress in Light Pink with Floral Embroidery &amp; Ruffle Sleeves for Comfort Wear</t>
        </is>
      </c>
      <c r="L216" s="49" t="inlineStr">
        <is>
          <t>Purple United Kids Girls Dress in Light Pink with Floral Embroidery &amp; Ruffle Sleeves</t>
        </is>
      </c>
      <c r="M216" s="51" t="inlineStr">
        <is>
          <t>* SOFT TEXTURED PREMIUM FABRIC: Kids Girls Dress crafted in soft lightweight textured fabric for breathable comfort and smooth all-day wear. Gentle construction offers airy comfort and premium softness suitable for summer styling and special occasions.
* FLARED SILHOUETTE WITH RUFFLE SLEEVES: Designed with an elegant flared silhouette and statement ruffle sleeves for a graceful feminine look. Comfortable fit allows easy movement while maintaining a refined premium appearance for modern kids fashion styling.
* FLORAL EMBROIDERY ACCENTS: Features delicate floral embroidery detailing on the bodice that enhances the dress with elevated designer-inspired charm. Intricate detailing adds sophisticated visual appeal perfect for premium party and occasion wear.
* QUALITY STITCHING &amp; COMFORTABLE WEAR: Made using durable stitching and lightweight fabric construction for long-lasting wear and shape retention. Designed to maintain softness, colour quality, and structure even after repeated washes and regular use.
* EASY TO MAINTAIN: Machine wash cold with similar colours, avoid bleach, and dry in shade for best fabric care. Package includes 1 Kids Girls Dress designed for premium comfort, elegant styling, and versatile seasonal wear.</t>
        </is>
      </c>
      <c r="N216" s="48" t="inlineStr">
        <is>
          <t>Purple United Kids presents this elegant Kids Girls Dress designed with refined floral embroidery and graceful feminine styling. Inspired by premium contemporary kids fashion, this dress blends comfort, sophistication, and elevated occasion-ready charm.
Crafted from soft lightweight textured fabric, this kids girls dress features delicate floral embroidery on the bodice, statement ruffle sleeves, and a beautifully flared silhouette for an elegant premium look. The breathable fabric construction ensures comfort during extended wear, while the refined detailing enhances the overall designer-inspired appeal. Designed as a sophisticated dress for girls, it delivers stylish comfort for modern wardrobes.
This Kids Girls Dress offers breathable comfort, lightweight wearability, and unrestricted movement for active kids. The relaxed flared silhouette provides ease and flexibility while maintaining a polished fashionable appearance. Its versatile styling makes it suitable for both special occasions and elevated everyday dressing.
Perfect for birthday celebrations, family gatherings, vacations, festive occasions, parties, summer outings, photoshoots, and stylish casual wear, this girls dress adds graceful charm to every occasion. The elegant embroidery and soft colour palette make it ideal for premium party styling.
Upgrade your child’s wardrobe with this premium Kids Girls Dress from Purple United Kids. Refer to the size chart for the ideal fit. Machine wash with similar colours, avoid bleach, and dry in shade to maintain softness, embroidery quality, and garment structure.</t>
        </is>
      </c>
    </row>
    <row r="217">
      <c r="A217" s="42" t="n"/>
      <c r="B217" s="34" t="inlineStr">
        <is>
          <t>PGDRSS000095</t>
        </is>
      </c>
      <c r="C217" s="34" t="inlineStr">
        <is>
          <t>APPAREL</t>
        </is>
      </c>
      <c r="D217" s="34" t="inlineStr">
        <is>
          <t>DRESS</t>
        </is>
      </c>
      <c r="E217" s="34" t="inlineStr">
        <is>
          <t>KIDS GIRLS</t>
        </is>
      </c>
      <c r="F217" s="34" t="inlineStr">
        <is>
          <t>YELLOW</t>
        </is>
      </c>
      <c r="G217" s="34" t="inlineStr">
        <is>
          <t>PGDRSS000095-YELLOW</t>
        </is>
      </c>
      <c r="H217" s="49" t="inlineStr">
        <is>
          <t>Purple United Kids Girls Dress | Elegant Floral Embroidered | Soft Textured Breathable Fabric | Ruffle Sleeve Detail | Yellow | Premium Lightweight Party &amp; Summer Wear Dress for Girls</t>
        </is>
      </c>
      <c r="I217" s="48" t="inlineStr">
        <is>
          <t>Kids Girls Yellow Floral Dress</t>
        </is>
      </c>
      <c r="J217" s="49" t="inlineStr">
        <is>
          <t>Purple United Kids Girls Yellow Floral Embroidery Ruffle Sleeves Daily Comfort Wear Dress</t>
        </is>
      </c>
      <c r="K217" s="49" t="inlineStr">
        <is>
          <t>Kids Girls Dress in Yellow with Floral Embroidery &amp; Ruffle Sleeves for Daily Comfort Wear</t>
        </is>
      </c>
      <c r="L217" s="49" t="inlineStr">
        <is>
          <t>Purple United Kids Girls Dress in Yellow with Floral Embroidery &amp; Ruffle Sleeves</t>
        </is>
      </c>
      <c r="M217" s="51" t="inlineStr">
        <is>
          <t>* SOFT TEXTURED PREMIUM FABRIC: Kids Girls Dress crafted in soft lightweight textured fabric for breathable comfort and smooth all-day wear. Gentle construction offers airy comfort and premium softness suitable for summer styling and special occasions.
* FLARED SILHOUETTE WITH RUFFLE SLEEVES: Designed with an elegant flared silhouette and statement ruffle sleeves for a graceful feminine look. Comfortable fit allows easy movement while maintaining a refined premium appearance for modern kids fashion styling.
* FLORAL EMBROIDERY ACCENTS: Features delicate floral embroidery detailing on the bodice that enhances the dress with elevated designer-inspired charm. Intricate detailing adds sophisticated visual appeal perfect for premium party and occasion wear.
* QUALITY STITCHING &amp; COMFORTABLE WEAR: Made using durable stitching and lightweight fabric construction for long-lasting wear and shape retention. Designed to maintain softness, colour quality, and structure even after repeated washes and regular use.
* EASY TO MAINTAIN: Machine wash cold with similar colours, avoid bleach, and dry in shade for best fabric care. Package includes 1 Kids Girls Dress designed for premium comfort, elegant styling, and versatile seasonal wear.</t>
        </is>
      </c>
      <c r="N217" s="48" t="inlineStr">
        <is>
          <t>Purple United Kids presents this elegant Kids Girls Dress designed with refined floral embroidery and graceful feminine styling. Inspired by premium contemporary kids fashion, this dress blends comfort, sophistication, and elevated occasion-ready charm.
Crafted from soft lightweight textured fabric, this kids girls dress features delicate floral embroidery on the bodice, statement ruffle sleeves, and a beautifully flared silhouette for an elegant premium look. The breathable fabric construction ensures comfort during extended wear, while the refined detailing enhances the overall designer-inspired appeal. Designed as a sophisticated dress for girls, it delivers stylish comfort for modern wardrobes.
This Kids Girls Dress offers breathable comfort, lightweight wearability, and unrestricted movement for active kids. The relaxed flared silhouette provides ease and flexibility while maintaining a polished fashionable appearance. Its versatile styling makes it suitable for both special occasions and elevated everyday dressing.
Perfect for birthday celebrations, family gatherings, vacations, festive occasions, parties, summer outings, photoshoots, and stylish casual wear, this girls dress adds graceful charm to every occasion. The elegant embroidery and soft colour palette make it ideal for premium party styling.
Upgrade your child’s wardrobe with this premium Kids Girls Dress from Purple United Kids. Refer to the size chart for the ideal fit. Machine wash with similar colours, avoid bleach, and dry in shade to maintain softness, embroidery quality, and garment structure.</t>
        </is>
      </c>
    </row>
    <row r="218">
      <c r="A218" s="42" t="n"/>
      <c r="B218" s="34" t="inlineStr">
        <is>
          <t xml:space="preserve"> PUTOYA003968</t>
        </is>
      </c>
      <c r="C218" s="34" t="inlineStr">
        <is>
          <t>ACCESSORIES</t>
        </is>
      </c>
      <c r="D218" s="34" t="inlineStr">
        <is>
          <t>TOY</t>
        </is>
      </c>
      <c r="E218" s="34" t="inlineStr">
        <is>
          <t>KIDS-UNISEX</t>
        </is>
      </c>
      <c r="F218" s="34" t="inlineStr">
        <is>
          <t>PEACH</t>
        </is>
      </c>
      <c r="G218" s="34" t="inlineStr">
        <is>
          <t xml:space="preserve"> PUTOYA003968-PEACH</t>
        </is>
      </c>
      <c r="H218" s="49" t="n"/>
      <c r="I218" s="48" t="n"/>
      <c r="J218" s="49" t="n"/>
      <c r="K218" s="49" t="inlineStr">
        <is>
          <t>Kids Unisex Peach Bunny Plush Toy with Ultra Soft Feel for Playtime &amp; Happy Snuggle Fun</t>
        </is>
      </c>
      <c r="L218" s="49" t="n"/>
      <c r="M218" s="51" t="inlineStr">
        <is>
          <t>*ADORABLE BUNNY DESIGN: Cute rabbit soft toy featuring embroidered facial details, floppy bunny ears, and a charming outfit that adds playful style and cuddly comfort to kids’ spaces.
*ULTRA SOFT PLUSH COMFORT: Crafted with premium plush fabric and fluffy filling for a soft-touch feel, making it perfect for bedtime cuddles, playtime hugs, and everyday comfort.
*LIGHTWEIGHT &amp; HUGGABLE: Designed for little hands to easily carry, cuddle, and enjoy during travel, pretend play, nursery décor, and cozy companion moments throughout the day.
*PREMIUM QUALITY FINISH: Soft fabric texture, durable stitching, and detailed craftsmanship help maintain shape, plushness, and comfort even after regular play and cuddling.
*PERFECT GIFT FOR KIDS: Includes 1 bunny plush toy ideal for birthdays, baby showers, return gifts, festive occasions, nursery styling, and playful memories for boys and girls.</t>
        </is>
      </c>
      <c r="N218" s="48" t="inlineStr">
        <is>
          <t>Add playful charm and cuddly comfort to your little one’s world with this adorable bunny soft toy from Purple United Kids. Designed with a sweet rabbit face, soft plush texture, floppy ears, and a stylish outfit, this plush toy creates a warm and cheerful companion for kids during playtime, bedtime, and cozy cuddle moments.
Crafted using premium plush fabric with fluffy filling, this stuffed toy delivers a gentle and comforting touch that kids will love to hug and carry everywhere. The lightweight and huggable design makes it perfect for imaginative play, nursery décor, travel companionship, and everyday snuggle time while encouraging interactive and creative fun.
The detailed embroidery, soft-touch finish, and premium stitching enhance the toy’s charming look while helping maintain durability and plush softness even with regular use. Whether used as a gifting option, room décor accent, or lovable cuddle buddy, this bunny plush toy combines comfort, cuteness, and premium quality in every detail.
The package includes 1 bunny soft toy. Easy to maintain with gentle surface cleaning or hand wash to keep the plush fabric soft, fresh, and cuddly for long-lasting playtime joy.</t>
        </is>
      </c>
    </row>
    <row r="219">
      <c r="A219" s="42" t="n"/>
      <c r="B219" s="34" t="inlineStr">
        <is>
          <t xml:space="preserve"> PUTOYA003968</t>
        </is>
      </c>
      <c r="C219" s="34" t="inlineStr">
        <is>
          <t>ACCESSORIES</t>
        </is>
      </c>
      <c r="D219" s="34" t="inlineStr">
        <is>
          <t>TOY</t>
        </is>
      </c>
      <c r="E219" s="34" t="inlineStr">
        <is>
          <t>KIDS-UNISEX</t>
        </is>
      </c>
      <c r="F219" s="34" t="inlineStr">
        <is>
          <t>PINK</t>
        </is>
      </c>
      <c r="G219" s="34" t="inlineStr">
        <is>
          <t xml:space="preserve"> PUTOYA003968-PINK</t>
        </is>
      </c>
      <c r="H219" s="49" t="n"/>
      <c r="I219" s="48" t="n"/>
      <c r="J219" s="49" t="n"/>
      <c r="K219" s="49" t="inlineStr">
        <is>
          <t>Kids Unisex Pink Bunny Plush Toy with Ultra Soft Feel for Playtime &amp; Happy Snuggle Fun</t>
        </is>
      </c>
      <c r="L219" s="49" t="n"/>
      <c r="M219" s="51" t="inlineStr">
        <is>
          <t>*ADORABLE BUNNY DESIGN: Cute rabbit soft toy featuring embroidered facial details, floppy bunny ears, and a charming outfit that adds playful style and cuddly comfort to kids’ spaces.
*ULTRA SOFT PLUSH COMFORT: Crafted with premium plush fabric and fluffy filling for a soft-touch feel, making it perfect for bedtime cuddles, playtime hugs, and everyday comfort.
*LIGHTWEIGHT &amp; HUGGABLE: Designed for little hands to easily carry, cuddle, and enjoy during travel, pretend play, nursery décor, and cozy companion moments throughout the day.
*PREMIUM QUALITY FINISH: Soft fabric texture, durable stitching, and detailed craftsmanship help maintain shape, plushness, and comfort even after regular play and cuddling.
*PERFECT GIFT FOR KIDS: Includes 1 bunny plush toy ideal for birthdays, baby showers, return gifts, festive occasions, nursery styling, and playful memories for boys and girls.</t>
        </is>
      </c>
      <c r="N219" s="48" t="inlineStr">
        <is>
          <t>Add playful charm and cuddly comfort to your little one’s world with this adorable bunny soft toy from Purple United Kids. Designed with a sweet rabbit face, soft plush texture, floppy ears, and a stylish outfit, this plush toy creates a warm and cheerful companion for kids during playtime, bedtime, and cozy cuddle moments.
Crafted using premium plush fabric with fluffy filling, this stuffed toy delivers a gentle and comforting touch that kids will love to hug and carry everywhere. The lightweight and huggable design makes it perfect for imaginative play, nursery décor, travel companionship, and everyday snuggle time while encouraging interactive and creative fun.
The detailed embroidery, soft-touch finish, and premium stitching enhance the toy’s charming look while helping maintain durability and plush softness even with regular use. Whether used as a gifting option, room décor accent, or lovable cuddle buddy, this bunny plush toy combines comfort, cuteness, and premium quality in every detail.
The package includes 1 bunny soft toy. Easy to maintain with gentle surface cleaning or hand wash to keep the plush fabric soft, fresh, and cuddly for long-lasting playtime joy.</t>
        </is>
      </c>
    </row>
    <row r="220">
      <c r="A220" s="42" t="n"/>
      <c r="B220" s="34" t="inlineStr">
        <is>
          <t xml:space="preserve"> PUTOYA003968</t>
        </is>
      </c>
      <c r="C220" s="34" t="inlineStr">
        <is>
          <t>ACCESSORIES</t>
        </is>
      </c>
      <c r="D220" s="34" t="inlineStr">
        <is>
          <t>TOY</t>
        </is>
      </c>
      <c r="E220" s="34" t="inlineStr">
        <is>
          <t>KIDS-UNISEX</t>
        </is>
      </c>
      <c r="F220" s="34" t="inlineStr">
        <is>
          <t>GREY</t>
        </is>
      </c>
      <c r="G220" s="34" t="inlineStr">
        <is>
          <t xml:space="preserve"> PUTOYA003968-GREY</t>
        </is>
      </c>
      <c r="H220" s="49" t="n"/>
      <c r="I220" s="48" t="n"/>
      <c r="J220" s="49" t="n"/>
      <c r="K220" s="49" t="inlineStr">
        <is>
          <t>Kids Unisex Grey Bunny Plush Toy with Ultra Soft Feel for Playtime &amp; Happy Snuggle Fun</t>
        </is>
      </c>
      <c r="L220" s="49" t="n"/>
      <c r="M220" s="51" t="inlineStr">
        <is>
          <t>*ADORABLE BUNNY DESIGN: Cute rabbit soft toy featuring embroidered facial details, floppy bunny ears, and a charming outfit that adds playful style and cuddly comfort to kids’ spaces.
*ULTRA SOFT PLUSH COMFORT: Crafted with premium plush fabric and fluffy filling for a soft-touch feel, making it perfect for bedtime cuddles, playtime hugs, and everyday comfort.
*LIGHTWEIGHT &amp; HUGGABLE: Designed for little hands to easily carry, cuddle, and enjoy during travel, pretend play, nursery décor, and cozy companion moments throughout the day.
*PREMIUM QUALITY FINISH: Soft fabric texture, durable stitching, and detailed craftsmanship help maintain shape, plushness, and comfort even after regular play and cuddling.
*PERFECT GIFT FOR KIDS: Includes 1 bunny plush toy ideal for birthdays, baby showers, return gifts, festive occasions, nursery styling, and playful memories for boys and girls.</t>
        </is>
      </c>
      <c r="N220" s="48" t="inlineStr">
        <is>
          <t>Add playful charm and cuddly comfort to your little one’s world with this adorable bunny soft toy from Purple United Kids. Designed with a sweet rabbit face, soft plush texture, floppy ears, and a stylish outfit, this plush toy creates a warm and cheerful companion for kids during playtime, bedtime, and cozy cuddle moments.
Crafted using premium plush fabric with fluffy filling, this stuffed toy delivers a gentle and comforting touch that kids will love to hug and carry everywhere. The lightweight and huggable design makes it perfect for imaginative play, nursery décor, travel companionship, and everyday snuggle time while encouraging interactive and creative fun.
The detailed embroidery, soft-touch finish, and premium stitching enhance the toy’s charming look while helping maintain durability and plush softness even with regular use. Whether used as a gifting option, room décor accent, or lovable cuddle buddy, this bunny plush toy combines comfort, cuteness, and premium quality in every detail.
The package includes 1 bunny soft toy. Easy to maintain with gentle surface cleaning or hand wash to keep the plush fabric soft, fresh, and cuddly for long-lasting playtime joy.</t>
        </is>
      </c>
    </row>
    <row r="221">
      <c r="A221" s="42" t="n"/>
      <c r="B221" s="34" t="inlineStr">
        <is>
          <t xml:space="preserve"> PUTOYA003964</t>
        </is>
      </c>
      <c r="C221" s="34" t="inlineStr">
        <is>
          <t>ACCESSORIES</t>
        </is>
      </c>
      <c r="D221" s="34" t="inlineStr">
        <is>
          <t>TOY</t>
        </is>
      </c>
      <c r="E221" s="34" t="inlineStr">
        <is>
          <t>KIDS-UNISEX</t>
        </is>
      </c>
      <c r="F221" s="34" t="inlineStr">
        <is>
          <t>PINK</t>
        </is>
      </c>
      <c r="G221" s="34" t="inlineStr">
        <is>
          <t xml:space="preserve"> PUTOYA003964-PINK</t>
        </is>
      </c>
      <c r="H221" s="49" t="n"/>
      <c r="I221" s="48" t="n"/>
      <c r="J221" s="49" t="n"/>
      <c r="K221" s="49" t="inlineStr">
        <is>
          <t>Purple United Kids Dreamy Pink Teddy Plush Soft Toy for Little Joyful &amp; Fun Moments</t>
        </is>
      </c>
      <c r="L221" s="49" t="n"/>
      <c r="M221" s="51" t="inlineStr">
        <is>
          <t>*ADORABLE TEDDY BEAR DESIGN: Cute teddy soft toy featuring fluffy plush texture, charming facial details, and a stylish rainbow bow that adds playful charm to kids’ spaces.
*ULTRA SOFT PLUSH COMFORT: Crafted with premium plush fabric and soft filling for a gentle touch, making it perfect for bedtime comfort, playtime fun, and cozy everyday hugs.
*LIGHTWEIGHT &amp; HUGGABLE: Designed for little hands to easily hold, carry, and enjoy during travel, nursery décor, pretend play, and interactive fun throughout the day.
*PREMIUM QUALITY FINISH: Soft-touch fabric, durable stitching, and detailed craftsmanship help maintain the teddy’s fluffy shape, comfort, and plush softness after regular use.
*PERFECT GIFT FOR KIDS: Includes 1 teddy plush ideal for birthdays, baby showers, festive gifting, nursery styling, return gifts, and playful memories for boys and girls.</t>
        </is>
      </c>
      <c r="N221" s="48" t="inlineStr">
        <is>
          <t>Add playful charm and premium softness to your little one’s collection with this adorable teddy bear plush soft toy from Purple United Kids. Designed with a fluffy plush texture, sweet teddy face, and a stylish rainbow bow, this soft toy creates a cheerful and lovable companion for kids during playtime, bedtime, and relaxing moments.
Crafted using premium plush fabric with soft fluffy filling, this teddy plush delivers a gentle and comforting touch that kids will love to hug and carry everywhere. The lightweight and huggable design makes it perfect for nursery décor, imaginative play, travel companionship, and cozy everyday fun while encouraging playful interaction and joyful moments.
The detailed finishing, soft-touch texture, and premium stitching enhance the teddy’s adorable appearance while helping maintain durability and plush softness even after regular play. Whether used as a gifting option, room décor accent, or lovable plush companion, this teddy soft toy combines comfort, cuteness, and premium quality in every detail.
The package includes 1 teddy bear plush soft toy. Easy to maintain with gentle surface cleaning or hand wash to keep the plush fabric soft, fresh, and fluffy for long-lasting playtime enjoyment.</t>
        </is>
      </c>
    </row>
    <row r="222">
      <c r="A222" s="42" t="n"/>
      <c r="B222" s="34" t="inlineStr">
        <is>
          <t xml:space="preserve"> PUTOYA003964</t>
        </is>
      </c>
      <c r="C222" s="34" t="inlineStr">
        <is>
          <t>ACCESSORIES</t>
        </is>
      </c>
      <c r="D222" s="34" t="inlineStr">
        <is>
          <t>TOY</t>
        </is>
      </c>
      <c r="E222" s="34" t="inlineStr">
        <is>
          <t>KIDS-UNISEX</t>
        </is>
      </c>
      <c r="F222" s="34" t="inlineStr">
        <is>
          <t>BLUE</t>
        </is>
      </c>
      <c r="G222" s="34" t="inlineStr">
        <is>
          <t xml:space="preserve"> PUTOYA003964-BLUE</t>
        </is>
      </c>
      <c r="H222" s="49" t="n"/>
      <c r="I222" s="48" t="n"/>
      <c r="J222" s="49" t="n"/>
      <c r="K222" s="49" t="inlineStr">
        <is>
          <t>Purple United Kids Dreamy Blue Teddy Plush Soft Toy for Little Joyful &amp; Fun Moments</t>
        </is>
      </c>
      <c r="L222" s="49" t="n"/>
      <c r="M222" s="51" t="inlineStr">
        <is>
          <t>*ADORABLE TEDDY BEAR DESIGN: Cute teddy soft toy featuring fluffy plush texture, charming facial details, and a stylish rainbow bow that adds playful charm to kids’ spaces.
*ULTRA SOFT PLUSH COMFORT: Crafted with premium plush fabric and soft filling for a gentle touch, making it perfect for bedtime comfort, playtime fun, and cozy everyday hugs.
*LIGHTWEIGHT &amp; HUGGABLE: Designed for little hands to easily hold, carry, and enjoy during travel, nursery décor, pretend play, and interactive fun throughout the day.
*PREMIUM QUALITY FINISH: Soft-touch fabric, durable stitching, and detailed craftsmanship help maintain the teddy’s fluffy shape, comfort, and plush softness after regular use.
*PERFECT GIFT FOR KIDS: Includes 1 teddy plush ideal for birthdays, baby showers, festive gifting, nursery styling, return gifts, and playful memories for boys and girls.</t>
        </is>
      </c>
      <c r="N222" s="48" t="inlineStr">
        <is>
          <t>Add playful charm and premium softness to your little one’s collection with this adorable teddy bear plush soft toy from Purple United Kids. Designed with a fluffy plush texture, sweet teddy face, and a stylish rainbow bow, this soft toy creates a cheerful and lovable companion for kids during playtime, bedtime, and relaxing moments.
Crafted using premium plush fabric with soft fluffy filling, this teddy plush delivers a gentle and comforting touch that kids will love to hug and carry everywhere. The lightweight and huggable design makes it perfect for nursery décor, imaginative play, travel companionship, and cozy everyday fun while encouraging playful interaction and joyful moments.
The detailed finishing, soft-touch texture, and premium stitching enhance the teddy’s adorable appearance while helping maintain durability and plush softness even after regular play. Whether used as a gifting option, room décor accent, or lovable plush companion, this teddy soft toy combines comfort, cuteness, and premium quality in every detail.
The package includes 1 teddy bear plush soft toy. Easy to maintain with gentle surface cleaning or hand wash to keep the plush fabric soft, fresh, and fluffy for long-lasting playtime enjoyment.</t>
        </is>
      </c>
    </row>
    <row r="223">
      <c r="A223" s="42" t="n"/>
      <c r="B223" s="34" t="inlineStr">
        <is>
          <t xml:space="preserve"> PUTOYA003964</t>
        </is>
      </c>
      <c r="C223" s="34" t="inlineStr">
        <is>
          <t>ACCESSORIES</t>
        </is>
      </c>
      <c r="D223" s="34" t="inlineStr">
        <is>
          <t>TOY</t>
        </is>
      </c>
      <c r="E223" s="34" t="inlineStr">
        <is>
          <t>KIDS-UNISEX</t>
        </is>
      </c>
      <c r="F223" s="34" t="inlineStr">
        <is>
          <t>GREEN</t>
        </is>
      </c>
      <c r="G223" s="34" t="inlineStr">
        <is>
          <t xml:space="preserve"> PUTOYA003964-GREEN</t>
        </is>
      </c>
      <c r="H223" s="49" t="n"/>
      <c r="I223" s="48" t="n"/>
      <c r="J223" s="49" t="n"/>
      <c r="K223" s="49" t="inlineStr">
        <is>
          <t>Purple United Kids Dreamy Green Teddy Plush Soft Toy for Little Joyful &amp; Fun Moments</t>
        </is>
      </c>
      <c r="L223" s="49" t="n"/>
      <c r="M223" s="51" t="inlineStr">
        <is>
          <t>*ADORABLE TEDDY BEAR DESIGN: Cute teddy soft toy featuring fluffy plush texture, charming facial details, and a stylish rainbow bow that adds playful charm to kids’ spaces.
*ULTRA SOFT PLUSH COMFORT: Crafted with premium plush fabric and soft filling for a gentle touch, making it perfect for bedtime comfort, playtime fun, and cozy everyday hugs.
*LIGHTWEIGHT &amp; HUGGABLE: Designed for little hands to easily hold, carry, and enjoy during travel, nursery décor, pretend play, and interactive fun throughout the day.
*PREMIUM QUALITY FINISH: Soft-touch fabric, durable stitching, and detailed craftsmanship help maintain the teddy’s fluffy shape, comfort, and plush softness after regular use.
*PERFECT GIFT FOR KIDS: Includes 1 teddy plush ideal for birthdays, baby showers, festive gifting, nursery styling, return gifts, and playful memories for boys and girls.</t>
        </is>
      </c>
      <c r="N223" s="48" t="inlineStr">
        <is>
          <t>Add playful charm and premium softness to your little one’s collection with this adorable teddy bear plush soft toy from Purple United Kids. Designed with a fluffy plush texture, sweet teddy face, and a stylish rainbow bow, this soft toy creates a cheerful and lovable companion for kids during playtime, bedtime, and relaxing moments.
Crafted using premium plush fabric with soft fluffy filling, this teddy plush delivers a gentle and comforting touch that kids will love to hug and carry everywhere. The lightweight and huggable design makes it perfect for nursery décor, imaginative play, travel companionship, and cozy everyday fun while encouraging playful interaction and joyful moments.
The detailed finishing, soft-touch texture, and premium stitching enhance the teddy’s adorable appearance while helping maintain durability and plush softness even after regular play. Whether used as a gifting option, room décor accent, or lovable plush companion, this teddy soft toy combines comfort, cuteness, and premium quality in every detail.
The package includes 1 teddy bear plush soft toy. Easy to maintain with gentle surface cleaning or hand wash to keep the plush fabric soft, fresh, and fluffy for long-lasting playtime enjoyment.</t>
        </is>
      </c>
    </row>
    <row r="224">
      <c r="A224" s="42" t="n"/>
      <c r="B224" s="34" t="inlineStr">
        <is>
          <t xml:space="preserve"> PUTOYA003967</t>
        </is>
      </c>
      <c r="C224" s="34" t="inlineStr">
        <is>
          <t>ACCESSORIES</t>
        </is>
      </c>
      <c r="D224" s="34" t="inlineStr">
        <is>
          <t>TOY</t>
        </is>
      </c>
      <c r="E224" s="34" t="inlineStr">
        <is>
          <t>KIDS-UNISEX</t>
        </is>
      </c>
      <c r="F224" s="34" t="inlineStr">
        <is>
          <t>PINK</t>
        </is>
      </c>
      <c r="G224" s="34" t="inlineStr">
        <is>
          <t xml:space="preserve"> PUTOYA003967-PINK</t>
        </is>
      </c>
      <c r="H224" s="49" t="n"/>
      <c r="I224" s="48" t="n"/>
      <c r="J224" s="49" t="n"/>
      <c r="K224" s="49" t="inlineStr">
        <is>
          <t>Purple United Kids Pink Elephant Soft Toy Plush for Soft Play with Dreamy Pastel Wings</t>
        </is>
      </c>
      <c r="L224" s="49" t="n"/>
      <c r="M224" s="51" t="inlineStr">
        <is>
          <t>*ADORABLE ELEPHANT CHARACTER: Cute elephant soft toy designed with playful pastel wings, floppy ears, blush cheeks, and charming embroidered details for an eye-catching look.
*ULTRA SOFT &amp; PLUSH FEEL: Crafted using premium plush fabric with fluffy soft filling that feels gentle on little hands, making it perfect for cuddles, playtime, and bedtime comfort.
*LIGHTWEIGHT &amp; KID-FRIENDLY: Easy to hold, carry, and play with, this elephant plush is designed for everyday fun, nursery décor, travel companionship, and imaginative adventures.
*PREMIUM QUALITY CRAFTSMANSHIP: Detailed stitching, soft-touch fabric, vibrant pastel accents, and durable finishing maintain the toy’s shape, softness, and premium appearance over time.
*PERFECT GIFT FOR LITTLE ONES: Includes 1 elephant plush soft toy ideal for birthdays, baby showers, return gifts, nursery styling, and playful moments for boys and girls.</t>
        </is>
      </c>
      <c r="N224" s="48" t="inlineStr">
        <is>
          <t>Bring home playful imagination and premium softness with this adorable Elephant Plush Soft Toy from Purple United Kids. Designed with a cheerful elephant character, pastel multicolor wings, floppy ears, blush pink cheeks, and soft embroidered details, this plush companion adds charm and joyful energy to every kid’s collection.
Made with ultra-soft plush fabric and fluffy filling, this elephant soft toy delivers a comforting touch that kids will love during playtime, bedtime, travel, and cozy relaxing moments. The lightweight and huggable design makes it easy for little ones to carry around while enjoying imaginative play and interactive fun throughout the day.
The premium stitching and detailed craftsmanship enhance durability while maintaining the plush softness and adorable shape even after regular use. Whether styled as nursery décor, gifted for special occasions, or added to a growing plush collection, this cute elephant soft toy combines comfort, creativity, and playful premium styling in every detail.
The package includes 1 elephant plush soft toy. Easy to maintain with gentle surface cleaning or hand wash to keep the plush texture soft, fluffy, and fresh for long-lasting enjoyment.</t>
        </is>
      </c>
    </row>
    <row r="225">
      <c r="A225" s="42" t="n"/>
      <c r="B225" s="34" t="inlineStr">
        <is>
          <t xml:space="preserve"> PUTOYA003967</t>
        </is>
      </c>
      <c r="C225" s="34" t="inlineStr">
        <is>
          <t>ACCESSORIES</t>
        </is>
      </c>
      <c r="D225" s="34" t="inlineStr">
        <is>
          <t>TOY</t>
        </is>
      </c>
      <c r="E225" s="34" t="inlineStr">
        <is>
          <t>KIDS-UNISEX</t>
        </is>
      </c>
      <c r="F225" s="34" t="inlineStr">
        <is>
          <t>YELLOW</t>
        </is>
      </c>
      <c r="G225" s="34" t="inlineStr">
        <is>
          <t xml:space="preserve"> PUTOYA003967-YELLOW</t>
        </is>
      </c>
      <c r="H225" s="49" t="n"/>
      <c r="I225" s="48" t="n"/>
      <c r="J225" s="49" t="n"/>
      <c r="K225" s="49" t="inlineStr">
        <is>
          <t>Purple United Kids Yellow Elephant Soft Toy Plush for Soft Play with Dreamy Pastel Wings</t>
        </is>
      </c>
      <c r="L225" s="49" t="n"/>
      <c r="M225" s="51" t="inlineStr">
        <is>
          <t>*ADORABLE ELEPHANT CHARACTER: Cute elephant soft toy designed with playful pastel wings, floppy ears, blush cheeks, and charming embroidered details for an eye-catching look.
*ULTRA SOFT &amp; PLUSH FEEL: Crafted using premium plush fabric with fluffy soft filling that feels gentle on little hands, making it perfect for cuddles, playtime, and bedtime comfort.
*LIGHTWEIGHT &amp; KID-FRIENDLY: Easy to hold, carry, and play with, this elephant plush is designed for everyday fun, nursery décor, travel companionship, and imaginative adventures.
*PREMIUM QUALITY CRAFTSMANSHIP: Detailed stitching, soft-touch fabric, vibrant pastel accents, and durable finishing maintain the toy’s shape, softness, and premium appearance over time.
*PERFECT GIFT FOR LITTLE ONES: Includes 1 elephant plush soft toy ideal for birthdays, baby showers, return gifts, nursery styling, and playful moments for boys and girls.</t>
        </is>
      </c>
      <c r="N225" s="48" t="inlineStr">
        <is>
          <t>Bring home playful imagination and premium softness with this adorable Elephant Plush Soft Toy from Purple United Kids. Designed with a cheerful elephant character, pastel multicolor wings, floppy ears, blush pink cheeks, and soft embroidered details, this plush companion adds charm and joyful energy to every kid’s collection.
Made with ultra-soft plush fabric and fluffy filling, this elephant soft toy delivers a comforting touch that kids will love during playtime, bedtime, travel, and cozy relaxing moments. The lightweight and huggable design makes it easy for little ones to carry around while enjoying imaginative play and interactive fun throughout the day.
The premium stitching and detailed craftsmanship enhance durability while maintaining the plush softness and adorable shape even after regular use. Whether styled as nursery décor, gifted for special occasions, or added to a growing plush collection, this cute elephant soft toy combines comfort, creativity, and playful premium styling in every detail.
The package includes 1 elephant plush soft toy. Easy to maintain with gentle surface cleaning or hand wash to keep the plush texture soft, fluffy, and fresh for long-lasting enjoyment.</t>
        </is>
      </c>
    </row>
    <row r="226">
      <c r="A226" s="42" t="n"/>
      <c r="B226" s="34" t="inlineStr">
        <is>
          <t xml:space="preserve"> PUTOYA003967</t>
        </is>
      </c>
      <c r="C226" s="34" t="inlineStr">
        <is>
          <t>ACCESSORIES</t>
        </is>
      </c>
      <c r="D226" s="34" t="inlineStr">
        <is>
          <t>TOY</t>
        </is>
      </c>
      <c r="E226" s="34" t="inlineStr">
        <is>
          <t>KIDS-UNISEX</t>
        </is>
      </c>
      <c r="F226" s="34" t="inlineStr">
        <is>
          <t>GREY</t>
        </is>
      </c>
      <c r="G226" s="34" t="inlineStr">
        <is>
          <t xml:space="preserve"> PUTOYA003967-GREY</t>
        </is>
      </c>
      <c r="H226" s="49" t="n"/>
      <c r="I226" s="48" t="n"/>
      <c r="J226" s="49" t="n"/>
      <c r="K226" s="49" t="inlineStr">
        <is>
          <t>Purple United Kids Grey Elephant Soft Toy Plush for Soft Play with Dreamy Pastel Wings</t>
        </is>
      </c>
      <c r="L226" s="49" t="n"/>
      <c r="M226" s="51" t="inlineStr">
        <is>
          <t>*ADORABLE ELEPHANT CHARACTER: Cute elephant soft toy designed with playful pastel wings, floppy ears, blush cheeks, and charming embroidered details for an eye-catching look.
*ULTRA SOFT &amp; PLUSH FEEL: Crafted using premium plush fabric with fluffy soft filling that feels gentle on little hands, making it perfect for cuddles, playtime, and bedtime comfort.
*LIGHTWEIGHT &amp; KID-FRIENDLY: Easy to hold, carry, and play with, this elephant plush is designed for everyday fun, nursery décor, travel companionship, and imaginative adventures.
*PREMIUM QUALITY CRAFTSMANSHIP: Detailed stitching, soft-touch fabric, vibrant pastel accents, and durable finishing maintain the toy’s shape, softness, and premium appearance over time.
*PERFECT GIFT FOR LITTLE ONES: Includes 1 elephant plush soft toy ideal for birthdays, baby showers, return gifts, nursery styling, and playful moments for boys and girls.</t>
        </is>
      </c>
      <c r="N226" s="48" t="inlineStr">
        <is>
          <t>Bring home playful imagination and premium softness with this adorable Elephant Plush Soft Toy from Purple United Kids. Designed with a cheerful elephant character, pastel multicolor wings, floppy ears, blush pink cheeks, and soft embroidered details, this plush companion adds charm and joyful energy to every kid’s collection.
Made with ultra-soft plush fabric and fluffy filling, this elephant soft toy delivers a comforting touch that kids will love during playtime, bedtime, travel, and cozy relaxing moments. The lightweight and huggable design makes it easy for little ones to carry around while enjoying imaginative play and interactive fun throughout the day.
The premium stitching and detailed craftsmanship enhance durability while maintaining the plush softness and adorable shape even after regular use. Whether styled as nursery décor, gifted for special occasions, or added to a growing plush collection, this cute elephant soft toy combines comfort, creativity, and playful premium styling in every detail.
The package includes 1 elephant plush soft toy. Easy to maintain with gentle surface cleaning or hand wash to keep the plush texture soft, fluffy, and fresh for long-lasting enjoyment.</t>
        </is>
      </c>
    </row>
    <row r="227">
      <c r="A227" s="42" t="n"/>
      <c r="B227" s="34" t="inlineStr">
        <is>
          <t xml:space="preserve"> PUTOYA003963</t>
        </is>
      </c>
      <c r="C227" s="34" t="inlineStr">
        <is>
          <t>ACCESSORIES</t>
        </is>
      </c>
      <c r="D227" s="34" t="inlineStr">
        <is>
          <t>TOY</t>
        </is>
      </c>
      <c r="E227" s="34" t="inlineStr">
        <is>
          <t>KIDS-UNISEX</t>
        </is>
      </c>
      <c r="F227" s="34" t="inlineStr">
        <is>
          <t>CREAM PINK
BROWN</t>
        </is>
      </c>
      <c r="G227" s="34" t="inlineStr">
        <is>
          <t xml:space="preserve"> PUTOYA003963-CREAM PINK
BROWN</t>
        </is>
      </c>
      <c r="H227" s="49" t="n"/>
      <c r="I227" s="48" t="n"/>
      <c r="J227" s="49" t="n"/>
      <c r="K227" s="49" t="inlineStr">
        <is>
          <t>Kids Unisex Multicolour Teddy Bear Plush Toy with Ultra Soft Feel for Happy Playtime Fun</t>
        </is>
      </c>
      <c r="L227" s="49" t="n"/>
      <c r="M227" s="51" t="inlineStr">
        <is>
          <t>*PREMIUM TEDDY BEAR SOFT TOY: Adorably designed teddy bear toy with cute birthday heart detailing and charming colorful accents for a lovable premium look.
*ULTRA SOFT &amp; HUGGABLE: Crafted with plush soft-touch fabric that feels gentle on delicate skin, making it a cozy soft toy for baby boy, baby girl, and growing kids.
*PERFECT COMFORT &amp; PLAY TOY: Lightweight and easy to carry, this kids toy is ideal for cuddling, bedtime comfort, imaginative play, nursery décor, and travel companionship.
*STYLISH COLOR DESIGN: Features a soothing shade with elegant color detailing that adds a soft premium aesthetic to kids toys and stuffed toys collections.
*IDEAL GIFTING CHOICE FOR KIDS: A thoughtful plush toy gift for birthdays, return gifts, festive celebrations, and special occasions for boys and girls who love cute soft toys.</t>
        </is>
      </c>
      <c r="N227" s="48" t="inlineStr">
        <is>
          <t>Bring home cuddly comfort with the Purple United Kids Teddy Bear Soft Toy, thoughtfully designed for little ones who adore cute toys and plush companions. Crafted in a soothing shade with adorable colour accents, this teddy bear toy features a charming “Happy Birthday” heart detail that adds a playful and lovable touch.
Made with ultra-soft plush fabric, this stuffed toy feels gentle, cozy, and comforting for everyday hugs and snuggles. Whether used during bedtime, playtime, travel, or as nursery décor, this soft toy creates joyful moments while becoming a comforting companion for kids. Its lightweight and huggable design makes it easy for little hands to carry and cuddle all day long.
Perfect for gifting, this plush toy combines adorable styling with the premium quality and playful charm of Purple United Kids. A delightful addition to kids toys collections, soft toys for girls, soft toys for baby boy, and stuffed toys lovers.</t>
        </is>
      </c>
    </row>
    <row r="228">
      <c r="A228" s="42" t="n"/>
      <c r="B228" s="34" t="inlineStr">
        <is>
          <t xml:space="preserve"> PUTOYA003963</t>
        </is>
      </c>
      <c r="C228" s="34" t="inlineStr">
        <is>
          <t>ACCESSORIES</t>
        </is>
      </c>
      <c r="D228" s="34" t="inlineStr">
        <is>
          <t>TOY</t>
        </is>
      </c>
      <c r="E228" s="34" t="inlineStr">
        <is>
          <t>KIDS-UNISEX</t>
        </is>
      </c>
      <c r="F228" s="34" t="inlineStr">
        <is>
          <t>PINK</t>
        </is>
      </c>
      <c r="G228" s="34" t="inlineStr">
        <is>
          <t xml:space="preserve"> PUTOYA003963-PINK</t>
        </is>
      </c>
      <c r="H228" s="49" t="n"/>
      <c r="I228" s="48" t="n"/>
      <c r="J228" s="49" t="n"/>
      <c r="K228" s="49" t="inlineStr">
        <is>
          <t>Kids Unisex Pink Teddy Bear Plush Toy with Ultra Soft Feel for Happy Playtime Fun</t>
        </is>
      </c>
      <c r="L228" s="49" t="n"/>
      <c r="M228" s="51" t="inlineStr">
        <is>
          <t>*PREMIUM TEDDY BEAR SOFT TOY: Adorably designed teddy bear toy with cute birthday heart detailing and charming colorful accents for a lovable premium look.
*ULTRA SOFT &amp; HUGGABLE: Crafted with plush soft-touch fabric that feels gentle on delicate skin, making it a cozy soft toy for baby boy, baby girl, and growing kids.
*PERFECT COMFORT &amp; PLAY TOY: Lightweight and easy to carry, this kids toy is ideal for cuddling, bedtime comfort, imaginative play, nursery décor, and travel companionship.
*STYLISH COLOR DESIGN: Features a soothing shade with elegant color detailing that adds a soft premium aesthetic to kids toys and stuffed toys collections.
*IDEAL GIFTING CHOICE FOR KIDS: A thoughtful plush toy gift for birthdays, return gifts, festive celebrations, and special occasions for boys and girls who love cute soft toys.</t>
        </is>
      </c>
      <c r="N228" s="48" t="inlineStr">
        <is>
          <t>Bring home cuddly comfort with the Purple United Kids Teddy Bear Soft Toy, thoughtfully designed for little ones who adore cute toys and plush companions. Crafted in a soothing shade with adorable colour accents, this teddy bear toy features a charming “Happy Birthday” heart detail that adds a playful and lovable touch.
Made with ultra-soft plush fabric, this stuffed toy feels gentle, cozy, and comforting for everyday hugs and snuggles. Whether used during bedtime, playtime, travel, or as nursery décor, this soft toy creates joyful moments while becoming a comforting companion for kids. Its lightweight and huggable design makes it easy for little hands to carry and cuddle all day long.
Perfect for gifting, this plush toy combines adorable styling with the premium quality and playful charm of Purple United Kids. A delightful addition to kids toys collections, soft toys for girls, soft toys for baby boy, and stuffed toys lovers.</t>
        </is>
      </c>
    </row>
    <row r="229">
      <c r="A229" s="42" t="n"/>
      <c r="B229" s="34" t="inlineStr">
        <is>
          <t xml:space="preserve"> PUTOYA003963</t>
        </is>
      </c>
      <c r="C229" s="34" t="inlineStr">
        <is>
          <t>ACCESSORIES</t>
        </is>
      </c>
      <c r="D229" s="34" t="inlineStr">
        <is>
          <t>TOY</t>
        </is>
      </c>
      <c r="E229" s="34" t="inlineStr">
        <is>
          <t>KIDS-UNISEX</t>
        </is>
      </c>
      <c r="F229" s="34" t="inlineStr">
        <is>
          <t>BROWN</t>
        </is>
      </c>
      <c r="G229" s="34" t="inlineStr">
        <is>
          <t xml:space="preserve"> PUTOYA003963-BROWN</t>
        </is>
      </c>
      <c r="H229" s="49" t="n"/>
      <c r="I229" s="48" t="n"/>
      <c r="J229" s="49" t="n"/>
      <c r="K229" s="49" t="inlineStr">
        <is>
          <t>Kids Unisex Brown Teddy Bear Plush Toy with Ultra Soft Feel for Happy Playtime Fun</t>
        </is>
      </c>
      <c r="L229" s="49" t="n"/>
      <c r="M229" s="51" t="inlineStr">
        <is>
          <t>*PREMIUM TEDDY BEAR SOFT TOY: Adorably designed teddy bear toy with cute birthday heart detailing and charming colorful accents for a lovable premium look.
*ULTRA SOFT &amp; HUGGABLE: Crafted with plush soft-touch fabric that feels gentle on delicate skin, making it a cozy soft toy for baby boy, baby girl, and growing kids.
*PERFECT COMFORT &amp; PLAY TOY: Lightweight and easy to carry, this kids toy is ideal for cuddling, bedtime comfort, imaginative play, nursery décor, and travel companionship.
*STYLISH COLOR DESIGN: Features a soothing shade with elegant color detailing that adds a soft premium aesthetic to kids toys and stuffed toys collections.
*IDEAL GIFTING CHOICE FOR KIDS: A thoughtful plush toy gift for birthdays, return gifts, festive celebrations, and special occasions for boys and girls who love cute soft toys.</t>
        </is>
      </c>
      <c r="N229" s="48" t="inlineStr">
        <is>
          <t>Bring home cuddly comfort with the Purple United Kids Teddy Bear Soft Toy, thoughtfully designed for little ones who adore cute toys and plush companions. Crafted in a soothing shade with adorable colour accents, this teddy bear toy features a charming “Happy Birthday” heart detail that adds a playful and lovable touch.
Made with ultra-soft plush fabric, this stuffed toy feels gentle, cozy, and comforting for everyday hugs and snuggles. Whether used during bedtime, playtime, travel, or as nursery décor, this soft toy creates joyful moments while becoming a comforting companion for kids. Its lightweight and huggable design makes it easy for little hands to carry and cuddle all day long.
Perfect for gifting, this plush toy combines adorable styling with the premium quality and playful charm of Purple United Kids. A delightful addition to kids toys collections, soft toys for girls, soft toys for baby boy, and stuffed toys lovers.</t>
        </is>
      </c>
    </row>
    <row r="230">
      <c r="A230" s="42" t="n"/>
      <c r="B230" s="34" t="inlineStr">
        <is>
          <t xml:space="preserve"> PUTOYA003966</t>
        </is>
      </c>
      <c r="C230" s="34" t="inlineStr">
        <is>
          <t>ACCESSORIES</t>
        </is>
      </c>
      <c r="D230" s="34" t="inlineStr">
        <is>
          <t>TOY</t>
        </is>
      </c>
      <c r="E230" s="34" t="inlineStr">
        <is>
          <t>KIDS-UNISEX</t>
        </is>
      </c>
      <c r="F230" s="34" t="inlineStr">
        <is>
          <t>PINK</t>
        </is>
      </c>
      <c r="G230" s="34" t="inlineStr">
        <is>
          <t xml:space="preserve"> PUTOYA003966-PINK</t>
        </is>
      </c>
      <c r="H230" s="49" t="n"/>
      <c r="I230" s="48" t="n"/>
      <c r="J230" s="49" t="n"/>
      <c r="K230" s="49" t="inlineStr">
        <is>
          <t>Kids Unisex Pink Giraffe Plush Soft Toy with Ultra Soft Feel for Playtime &amp; Cuddle Fun</t>
        </is>
      </c>
      <c r="L230" s="49" t="n"/>
      <c r="M230" s="51" t="inlineStr">
        <is>
          <t>*PREMIUM GIRAFFE SOFT TOY: Beautifully crafted giraffe soft toy with playful pastel detailing and adorable embroidered accents for a charming premium look.
*ULTRA SOFT &amp; SKIN FRIENDLY: Made with plush soft-touch fabric that feels gentle and cozy, making it an ideal soft toy for baby girl, baby boy, and toddlers.
*PERFECT FOR PLAY &amp; COMFORT: Lightweight and huggable design makes this kids toy perfect for cuddling, bedtime comfort, nursery décor, imaginative play, and travel use.
*STYLISH PASTEL DESIGN: Features soothing colorful pastel tones that add a cute and elegant touch to plush toys and stuffed toys collections.
*IDEAL GIFT FOR LITTLE ONES: A delightful toy for girls and boys, suitable for birthdays, baby showers, festive gifting, return gifts, and everyday playtime fun.</t>
        </is>
      </c>
      <c r="N230" s="48" t="inlineStr">
        <is>
          <t>Add playful charm and cuddly comfort to your little one’s world with the Purple United Kids Giraffe Soft Toy. Designed in a soothing pink shade with adorable pastel detailing, this plush toy features a cute giraffe-inspired silhouette, embroidered floral accents, and a soft premium finish that kids will instantly love.
Crafted with ultra-soft plush fabric, this stuffed toy feels gentle on delicate skin while offering cozy comfort during bedtime, playtime, travel, or relaxation. Its lightweight and easy-to-carry design allows kids to hug, hold, and enjoy their favorite companion wherever they go. The long-neck giraffe styling adds a fun and unique character-inspired appeal, making it a standout addition to kids toys collections.
Perfect for imaginative play, nursery decoration, cuddling, and gifting, this cute soft toy combines comfort, playful design, and the premium quality styling of Purple United Kids. A lovable choice for kids toys for girls, soft toys for baby, plush toys lovers, and toddlers who enjoy adorable animal toys.</t>
        </is>
      </c>
    </row>
    <row r="231">
      <c r="A231" s="42" t="n"/>
      <c r="B231" s="34" t="inlineStr">
        <is>
          <t xml:space="preserve"> PUTOYA003966</t>
        </is>
      </c>
      <c r="C231" s="34" t="inlineStr">
        <is>
          <t>ACCESSORIES</t>
        </is>
      </c>
      <c r="D231" s="34" t="inlineStr">
        <is>
          <t>TOY</t>
        </is>
      </c>
      <c r="E231" s="34" t="inlineStr">
        <is>
          <t>KIDS-UNISEX</t>
        </is>
      </c>
      <c r="F231" s="34" t="inlineStr">
        <is>
          <t>YELLOW</t>
        </is>
      </c>
      <c r="G231" s="34" t="inlineStr">
        <is>
          <t xml:space="preserve"> PUTOYA003966-YELLOW</t>
        </is>
      </c>
      <c r="H231" s="49" t="n"/>
      <c r="I231" s="48" t="n"/>
      <c r="J231" s="49" t="n"/>
      <c r="K231" s="49" t="inlineStr">
        <is>
          <t>Kids Unisex Yellow Giraffe Plush Soft Toy with Ultra Soft Feel for Playtime &amp; Cuddle Fun</t>
        </is>
      </c>
      <c r="L231" s="49" t="n"/>
      <c r="M231" s="51" t="inlineStr">
        <is>
          <t>*PREMIUM GIRAFFE SOFT TOY: Beautifully crafted giraffe soft toy with playful pastel detailing and adorable embroidered accents for a charming premium look.
*ULTRA SOFT &amp; SKIN FRIENDLY: Made with plush soft-touch fabric that feels gentle and cozy, making it an ideal soft toy for baby girl, baby boy, and toddlers.
*PERFECT FOR PLAY &amp; COMFORT: Lightweight and huggable design makes this kids toy perfect for cuddling, bedtime comfort, nursery décor, imaginative play, and travel use.
*STYLISH PASTEL DESIGN: Features soothing colorful pastel tones that add a cute and elegant touch to plush toys and stuffed toys collections.
*IDEAL GIFT FOR LITTLE ONES: A delightful toy for girls and boys, suitable for birthdays, baby showers, festive gifting, return gifts, and everyday playtime fun.</t>
        </is>
      </c>
      <c r="N231" s="48" t="inlineStr">
        <is>
          <t>Add playful charm and cuddly comfort to your little one’s world with the Purple United Kids Giraffe Soft Toy. Designed in a soothing pink shade with adorable pastel detailing, this plush toy features a cute giraffe-inspired silhouette, embroidered floral accents, and a soft premium finish that kids will instantly love.
Crafted with ultra-soft plush fabric, this stuffed toy feels gentle on delicate skin while offering cozy comfort during bedtime, playtime, travel, or relaxation. Its lightweight and easy-to-carry design allows kids to hug, hold, and enjoy their favorite companion wherever they go. The long-neck giraffe styling adds a fun and unique character-inspired appeal, making it a standout addition to kids toys collections.
Perfect for imaginative play, nursery decoration, cuddling, and gifting, this cute soft toy combines comfort, playful design, and the premium quality styling of Purple United Kids. A lovable choice for kids toys for girls, soft toys for baby, plush toys lovers, and toddlers who enjoy adorable animal toys.</t>
        </is>
      </c>
    </row>
    <row r="232">
      <c r="A232" s="42" t="n"/>
      <c r="B232" s="34" t="inlineStr">
        <is>
          <t xml:space="preserve"> PUTOYA003966</t>
        </is>
      </c>
      <c r="C232" s="34" t="inlineStr">
        <is>
          <t>ACCESSORIES</t>
        </is>
      </c>
      <c r="D232" s="34" t="inlineStr">
        <is>
          <t>TOY</t>
        </is>
      </c>
      <c r="E232" s="34" t="inlineStr">
        <is>
          <t>KIDS-UNISEX</t>
        </is>
      </c>
      <c r="F232" s="34" t="inlineStr">
        <is>
          <t>GREY</t>
        </is>
      </c>
      <c r="G232" s="34" t="inlineStr">
        <is>
          <t xml:space="preserve"> PUTOYA003966-GREY</t>
        </is>
      </c>
      <c r="H232" s="49" t="n"/>
      <c r="I232" s="48" t="n"/>
      <c r="J232" s="49" t="n"/>
      <c r="K232" s="49" t="inlineStr">
        <is>
          <t>Kids Unisex Grey Giraffe Plush Soft Toy with Ultra Soft Feel for Playtime &amp; Cuddle Fun</t>
        </is>
      </c>
      <c r="L232" s="49" t="n"/>
      <c r="M232" s="51" t="inlineStr">
        <is>
          <t>*PREMIUM GIRAFFE SOFT TOY: Beautifully crafted giraffe soft toy with playful pastel detailing and adorable embroidered accents for a charming premium look.
*ULTRA SOFT &amp; SKIN FRIENDLY: Made with plush soft-touch fabric that feels gentle and cozy, making it an ideal soft toy for baby girl, baby boy, and toddlers.
*PERFECT FOR PLAY &amp; COMFORT: Lightweight and huggable design makes this kids toy perfect for cuddling, bedtime comfort, nursery décor, imaginative play, and travel use.
*STYLISH PASTEL DESIGN: Features soothing colorful pastel tones that add a cute and elegant touch to plush toys and stuffed toys collections.
*IDEAL GIFT FOR LITTLE ONES: A delightful toy for girls and boys, suitable for birthdays, baby showers, festive gifting, return gifts, and everyday playtime fun.</t>
        </is>
      </c>
      <c r="N232" s="48" t="inlineStr">
        <is>
          <t>Add playful charm and cuddly comfort to your little one’s world with the Purple United Kids Giraffe Soft Toy. Designed in a soothing pink shade with adorable pastel detailing, this plush toy features a cute giraffe-inspired silhouette, embroidered floral accents, and a soft premium finish that kids will instantly love.
Crafted with ultra-soft plush fabric, this stuffed toy feels gentle on delicate skin while offering cozy comfort during bedtime, playtime, travel, or relaxation. Its lightweight and easy-to-carry design allows kids to hug, hold, and enjoy their favorite companion wherever they go. The long-neck giraffe styling adds a fun and unique character-inspired appeal, making it a standout addition to kids toys collections.
Perfect for imaginative play, nursery decoration, cuddling, and gifting, this cute soft toy combines comfort, playful design, and the premium quality styling of Purple United Kids. A lovable choice for kids toys for girls, soft toys for baby, plush toys lovers, and toddlers who enjoy adorable animal toys.</t>
        </is>
      </c>
    </row>
    <row r="233">
      <c r="A233" s="42" t="n"/>
      <c r="B233" s="34" t="inlineStr">
        <is>
          <t>PGCSCS003497</t>
        </is>
      </c>
      <c r="C233" s="34" t="inlineStr">
        <is>
          <t>APPAREL</t>
        </is>
      </c>
      <c r="D233" s="34" t="inlineStr">
        <is>
          <t>DRESS</t>
        </is>
      </c>
      <c r="E233" s="34" t="inlineStr">
        <is>
          <t>KIDS GIRLS</t>
        </is>
      </c>
      <c r="F233" s="34" t="inlineStr">
        <is>
          <t>PINK</t>
        </is>
      </c>
      <c r="G233" s="34" t="inlineStr">
        <is>
          <t>PGCSCS003497-PINK</t>
        </is>
      </c>
      <c r="H233" s="49" t="inlineStr">
        <is>
          <t>Purple United Kids Girls Coord Set | Ruffle Crop Top &amp; Matching Skirt Set | Soft Textured Breathable Fabric | Pink | Premium Summer &amp; Occasion Wear Styling</t>
        </is>
      </c>
      <c r="I233" s="48" t="inlineStr">
        <is>
          <t>Girls Pink Casual Coord Set</t>
        </is>
      </c>
      <c r="J233" s="49" t="inlineStr">
        <is>
          <t>Purple United Kids Girls Pink Ruffle Crop Top Matching Skirt Styling Coord Set</t>
        </is>
      </c>
      <c r="K233" s="49" t="inlineStr">
        <is>
          <t>Kids Girls Coord Set in Pink with Ruffle Crop Top &amp; Matching Skirt Styling for Comfort Wear</t>
        </is>
      </c>
      <c r="L233" s="49" t="inlineStr">
        <is>
          <t>Purple United Kids Girls Coord Set in Pink with Ruffle Crop Top and Matching Skirt Styling</t>
        </is>
      </c>
      <c r="M233" s="51" t="inlineStr">
        <is>
          <t>* SOFT PREMIUM FABRIC COMFORT: Kids Girls Coord Set crafted from lightweight soft-touch fabric designed for breathable comfort and smooth all-day wear. Premium fabric construction offers airy comfort suitable for warm-weather styling and everyday movement.
* COORDINATED LAYERED SILHOUETTE: Designed with a stylish coordinated silhouette featuring a cropped top and matching skirt for a polished fashion-forward look. The comfortable fit ensures easy movement while maintaining premium styling appeal.
* RUFFLE ACCENTS &amp; ELEVATED LOOK: Features delicate ruffle detailing and layered styling elements that create a playful yet sophisticated appearance. Designed with refined detailing inspired by contemporary premium kids fashion aesthetics.
* QUALITY CONSTRUCTION: Made with durable stitching and quality craftsmanship for long-lasting comfort and shape retention. Designed to maintain softness and appearance through regular wear.
* EASY MAINTENANCE: Machine wash with similar colours, avoid bleach, and dry in shade for best fabric care. Package includes 1 Kids Girls Coord Set designed for premium comfort and elevated styling.</t>
        </is>
      </c>
      <c r="N233" s="48" t="inlineStr">
        <is>
          <t>Purple United Kids presents this elegant Kids Girls Coord Set, thoughtfully designed to blend playful styling with premium comfort. Inspired by modern kids fashion trends, this coordinated outfit adds a refined statement to every wardrobe.
Crafted from soft lightweight fabric, this Kids Girls Coord Set features stylish ruffle detailing, layered design elements, and a coordinated silhouette that delivers a polished premium look. The breathable construction provides all-day comfort while maintaining an elegant and fashionable appearance.
Designed for comfort and movement, this coord set offers lightweight wearability and effortless styling. The coordinated design creates a complete fashion look with minimal effort while ensuring ease throughout the day.
Perfect for vacations, summer outings, birthday celebrations, family gatherings, casual wear, photoshoots, and stylish day events. The elegant styling makes it a versatile wardrobe choice.
Upgrade your child's wardrobe with this premium Kids Girls Coord Set from Purple United Kids. Refer to the size chart for the ideal fit and wash with similar colours to preserve fabric quality and style.</t>
        </is>
      </c>
    </row>
    <row r="234">
      <c r="A234" s="42" t="n"/>
      <c r="B234" s="34" t="inlineStr">
        <is>
          <t>PGCSCS003497</t>
        </is>
      </c>
      <c r="C234" s="34" t="inlineStr">
        <is>
          <t>APPAREL</t>
        </is>
      </c>
      <c r="D234" s="34" t="inlineStr">
        <is>
          <t>DRESS</t>
        </is>
      </c>
      <c r="E234" s="34" t="inlineStr">
        <is>
          <t>KIDS GIRLS</t>
        </is>
      </c>
      <c r="F234" s="34" t="inlineStr">
        <is>
          <t>LT. BLUE</t>
        </is>
      </c>
      <c r="G234" s="34" t="inlineStr">
        <is>
          <t>PGCSCS003497-LT. BLUE</t>
        </is>
      </c>
      <c r="H234" s="49" t="inlineStr">
        <is>
          <t>Purple United Kids Girls Coord Set | Ruffle Crop Top &amp; Matching Skirt Set | Soft Textured Breathable Fabric | Light Blue | Premium Summer &amp; Occasion Wear Styling</t>
        </is>
      </c>
      <c r="I234" s="48" t="inlineStr">
        <is>
          <t>Girls Blue Casual Coord Set</t>
        </is>
      </c>
      <c r="J234" s="49" t="inlineStr">
        <is>
          <t>Purple United Kids Girls Light Blue Ruffle Crop Top Matching Skirt Styling Coord Set</t>
        </is>
      </c>
      <c r="K234" s="49" t="inlineStr">
        <is>
          <t>Kids Girls Coord Set in Light Blue with Ruffle Crop Top &amp; Skirt Styling for Comfort Wear</t>
        </is>
      </c>
      <c r="L234" s="49" t="inlineStr">
        <is>
          <t>Purple United Kids Girls Coord Set in Light Blue with Ruffle Crop Top &amp; Matching Skirt</t>
        </is>
      </c>
      <c r="M234" s="51" t="inlineStr">
        <is>
          <t>* SOFT PREMIUM FABRIC COMFORT: Kids Girls Coord Set crafted from lightweight soft-touch fabric designed for breathable comfort and smooth all-day wear. Premium fabric construction offers airy comfort suitable for warm-weather styling and everyday movement.
* COORDINATED LAYERED SILHOUETTE: Designed with a stylish coordinated silhouette featuring a cropped top and matching skirt for a polished fashion-forward look. The comfortable fit ensures easy movement while maintaining premium styling appeal.
* RUFFLE ACCENTS &amp; ELEVATED LOOK: Features delicate ruffle detailing and layered styling elements that create a playful yet sophisticated appearance. Designed with refined detailing inspired by contemporary premium kids fashion aesthetics.
* QUALITY CONSTRUCTION: Made with durable stitching and quality craftsmanship for long-lasting comfort and shape retention. Designed to maintain softness and appearance through regular wear.
* EASY MAINTENANCE: Machine wash with similar colours, avoid bleach, and dry in shade for best fabric care. Package includes 1 Kids Girls Coord Set designed for premium comfort and elevated styling.</t>
        </is>
      </c>
      <c r="N234" s="48" t="inlineStr">
        <is>
          <t>Purple United Kids presents this elegant Kids Girls Coord Set, thoughtfully designed to blend playful styling with premium comfort. Inspired by modern kids fashion trends, this coordinated outfit adds a refined statement to every wardrobe.
Crafted from soft lightweight fabric, this Kids Girls Coord Set features stylish ruffle detailing, layered design elements, and a coordinated silhouette that delivers a polished premium look. The breathable construction provides all-day comfort while maintaining an elegant and fashionable appearance.
Designed for comfort and movement, this coord set offers lightweight wearability and effortless styling. The coordinated design creates a complete fashion look with minimal effort while ensuring ease throughout the day.
Perfect for vacations, summer outings, birthday celebrations, family gatherings, casual wear, photoshoots, and stylish day events. The elegant styling makes it a versatile wardrobe choice.
Upgrade your child's wardrobe with this premium Kids Girls Coord Set from Purple United Kids. Refer to the size chart for the ideal fit and wash with similar colours to preserve fabric quality and style.</t>
        </is>
      </c>
    </row>
    <row r="235">
      <c r="A235" s="42" t="n"/>
      <c r="B235" s="34" t="inlineStr">
        <is>
          <t>PGTOPS003152</t>
        </is>
      </c>
      <c r="C235" s="34" t="inlineStr">
        <is>
          <t>APPAREL</t>
        </is>
      </c>
      <c r="D235" s="34" t="inlineStr">
        <is>
          <t>TOP</t>
        </is>
      </c>
      <c r="E235" s="34" t="inlineStr">
        <is>
          <t>KIDS GIRLS</t>
        </is>
      </c>
      <c r="F235" s="34" t="inlineStr">
        <is>
          <t>NAVY BLUE</t>
        </is>
      </c>
      <c r="G235" s="34" t="inlineStr">
        <is>
          <t>PGTOPS003152-NAVY BLUE</t>
        </is>
      </c>
      <c r="H235" s="49" t="inlineStr">
        <is>
          <t>Purple United Kids Girls Top | Elegant Button Closure | Soft Textured Fabric | Ruffle Sleeve Detail | Flared Silhouette | Navy Blue | Premium Casual &amp; Party Wear Styling</t>
        </is>
      </c>
      <c r="I235" s="48" t="inlineStr">
        <is>
          <t>Girls Navy Blue Casual Top</t>
        </is>
      </c>
      <c r="J235" s="49" t="inlineStr">
        <is>
          <t>Purple United Kids Girls Navy Blue with Ruffle Sleeves Flared Styling Detail Comfort Top</t>
        </is>
      </c>
      <c r="K235" s="49" t="inlineStr">
        <is>
          <t>Kids Girls Top in Navy Blue with Ruffle Sleeves &amp; Flared Styling Detail for Daily Comfort</t>
        </is>
      </c>
      <c r="L235" s="49" t="inlineStr">
        <is>
          <t>Purple United Kids Girls Top in Navy Blue with Ruffle Sleeves and Flared Styling Detail</t>
        </is>
      </c>
      <c r="M235" s="51" t="inlineStr">
        <is>
          <t>* SOFT PREMIUM TEXTURED FABRIC: Kids Girls Top crafted from soft lightweight textured fabric designed for breathable comfort and smooth all-day wear. The premium construction provides a soft feel with effortless movement for stylish everyday and occasion dressing.
* FLARED SILHOUETTE WITH RUFFLE SLEEVES: Designed with an elegant flared silhouette and statement layered ruffle sleeves that create a graceful and elevated fashion look. The relaxed structure allows easy movement while maintaining a refined premium appearance.
* BUTTON ACCENT WITH MINIMAL BRAND STYLING: Features delicate button detailing with subtle Purple United signature branding that adds a premium touch. The clean design language delivers sophisticated styling with modern kids fashion appeal.
* COMFORTABLE AND LONG-LASTING CONSTRUCTION: Made with quality stitching and durable fabric construction for enhanced shape retention and everyday comfort. Designed to maintain softness, fit, and overall appearance after repeated wear.
* EASY MAINTENANCE: Machine wash with similar colours, avoid bleach, and dry in shade for best fabric care. Package includes 1 Kids Girls Top designed for premium comfort and versatile styling.</t>
        </is>
      </c>
      <c r="N235" s="48" t="inlineStr">
        <is>
          <t>Purple United Kids introduces this elegant Kids Girls Top, thoughtfully designed for young fashion wardrobes that value comfort and premium styling. Inspired by contemporary kids fashion trends, this top combines timeless design with modern detailing.
Crafted from soft textured fabric, this kids girls top features stylish layered ruffle sleeves, front button detailing, and a graceful flared silhouette that creates a polished premium look. The lightweight fabric ensures breathable comfort while maintaining a refined and structured appearance. Designed as a fashionable top for girls, it blends elevated styling with everyday wearability.
This Kids Girls Top provides lightweight comfort, unrestricted movement, and easy wear functionality for active kids. The relaxed fit ensures all-day comfort while maintaining a sophisticated and stylish appearance suitable for multiple occasions.
Perfect for birthday celebrations, family gatherings, vacations, summer outings, casual occasions, festive events, photoshoots, and party styling. Its elegant navy colour and premium detailing make it a versatile wardrobe essential.
Refresh your child's wardrobe with this premium Kids Girls Top from Purple United Kids. Refer to the size chart for the ideal fit. Machine wash with similar colours and dry in shade to maintain fabric quality and long-lasting style.</t>
        </is>
      </c>
    </row>
    <row r="236">
      <c r="A236" s="42" t="n"/>
      <c r="B236" s="34" t="inlineStr">
        <is>
          <t>PGTOPS003152</t>
        </is>
      </c>
      <c r="C236" s="34" t="inlineStr">
        <is>
          <t>APPAREL</t>
        </is>
      </c>
      <c r="D236" s="34" t="inlineStr">
        <is>
          <t>TOP</t>
        </is>
      </c>
      <c r="E236" s="34" t="inlineStr">
        <is>
          <t>KIDS GIRLS</t>
        </is>
      </c>
      <c r="F236" s="34" t="inlineStr">
        <is>
          <t xml:space="preserve">OFF-WHITE </t>
        </is>
      </c>
      <c r="G236" s="34" t="inlineStr">
        <is>
          <t>PGTOPS003152-OFF-WHITE</t>
        </is>
      </c>
      <c r="H236" s="49" t="inlineStr">
        <is>
          <t>Purple United Kids Girls Top | Elegant Button Closure | Soft Textured Fabric | Ruffle Sleeve Detail | Flared Silhouette | Off White | Premium Casual &amp; Party Wear Styling</t>
        </is>
      </c>
      <c r="I236" s="48" t="inlineStr">
        <is>
          <t>Girls Off White Casual Top</t>
        </is>
      </c>
      <c r="J236" s="49" t="inlineStr">
        <is>
          <t>Purple United Kids Girls Off White with Ruffle Sleeves Flared Styling Detail Comfort Top</t>
        </is>
      </c>
      <c r="K236" s="49" t="inlineStr">
        <is>
          <t>Kids Girls Top in Off White with Ruffle Sleeves &amp; Flared Styling Detail for Daily Comfort</t>
        </is>
      </c>
      <c r="L236" s="49" t="inlineStr">
        <is>
          <t>Purple United Kids Girls Top in Off White with Ruffle Sleeves and Flared Styling Detail</t>
        </is>
      </c>
      <c r="M236" s="51" t="inlineStr">
        <is>
          <t>* SOFT PREMIUM TEXTURED FABRIC: Kids Girls Top crafted from soft lightweight textured fabric designed for breathable comfort and smooth all-day wear. The premium construction provides a soft feel with effortless movement for stylish everyday and occasion dressing.
* FLARED SILHOUETTE WITH RUFFLE SLEEVES: Designed with an elegant flared silhouette and statement layered ruffle sleeves that create a graceful and elevated fashion look. The relaxed structure allows easy movement while maintaining a refined premium appearance.
* BUTTON ACCENT WITH MINIMAL BRAND STYLING: Features delicate button detailing with subtle Purple United signature branding that adds a premium touch. The clean design language delivers sophisticated styling with modern kids fashion appeal.
* COMFORTABLE AND LONG-LASTING CONSTRUCTION: Made with quality stitching and durable fabric construction for enhanced shape retention and everyday comfort. Designed to maintain softness, fit, and overall appearance after repeated wear.
* EASY MAINTENANCE: Machine wash with similar colours, avoid bleach, and dry in shade for best fabric care. Package includes 1 Kids Girls Top designed for premium comfort and versatile styling.</t>
        </is>
      </c>
      <c r="N236" s="48" t="inlineStr">
        <is>
          <t>Purple United Kids introduces this elegant Kids Girls Top, thoughtfully designed for young fashion wardrobes that value comfort and premium styling. Inspired by contemporary kids fashion trends, this top combines timeless design with modern detailing.
Crafted from soft textured fabric, this kids girls top features stylish layered ruffle sleeves, front button detailing, and a graceful flared silhouette that creates a polished premium look. The lightweight fabric ensures breathable comfort while maintaining a refined and structured appearance. Designed as a fashionable top for girls, it blends elevated styling with everyday wearability.
This Kids Girls Top provides lightweight comfort, unrestricted movement, and easy wear functionality for active kids. The relaxed fit ensures all-day comfort while maintaining a sophisticated and stylish appearance suitable for multiple occasions.
Perfect for birthday celebrations, family gatherings, vacations, summer outings, casual occasions, festive events, photoshoots, and party styling. Its elegant navy colour and premium detailing make it a versatile wardrobe essential.
Refresh your child's wardrobe with this premium Kids Girls Top from Purple United Kids. Refer to the size chart for the ideal fit. Machine wash with similar colours and dry in shade to maintain fabric quality and long-lasting style.</t>
        </is>
      </c>
    </row>
    <row r="237">
      <c r="A237" s="42" t="n"/>
      <c r="B237" s="34" t="inlineStr">
        <is>
          <t>PBTRCS003404</t>
        </is>
      </c>
      <c r="C237" s="34" t="inlineStr">
        <is>
          <t>APPAREL</t>
        </is>
      </c>
      <c r="D237" s="34" t="inlineStr">
        <is>
          <t>TROUSER</t>
        </is>
      </c>
      <c r="E237" s="34" t="inlineStr">
        <is>
          <t>KIDS BOYS</t>
        </is>
      </c>
      <c r="F237" s="34" t="inlineStr">
        <is>
          <t>BEIGE</t>
        </is>
      </c>
      <c r="G237" s="34" t="inlineStr">
        <is>
          <t>PBTRCS003404-BEIGE</t>
        </is>
      </c>
      <c r="H237" s="49" t="inlineStr">
        <is>
          <t>Purple United Kids Boys Trouser | Relaxed Fit Multi Pocket Cargo Styling | Snap Button Utility Pockets | Soft Cotton Rich Fabric | Beige | Casual Everyday Premium Wear</t>
        </is>
      </c>
      <c r="I237" s="48" t="inlineStr">
        <is>
          <t>Boys Beige Cargo Fit Trouser</t>
        </is>
      </c>
      <c r="J237" s="49" t="inlineStr">
        <is>
          <t>Purple United Kids Boys Beige Relaxed Fit Multi Pocket Cargo Styling Activewear Trouser</t>
        </is>
      </c>
      <c r="K237" s="49" t="inlineStr">
        <is>
          <t>Kids Boys Trousers Beige Relaxed Fit Multi Pocket Activewear Cargo Styling with Snap Detail</t>
        </is>
      </c>
      <c r="L237" s="49" t="inlineStr">
        <is>
          <t>Purple United Kids Boys Trousers in Beige with Relaxed Fit &amp; Activewear Cargo Styling</t>
        </is>
      </c>
      <c r="M237" s="51" t="inlineStr">
        <is>
          <t>* ALL-DAY COMFORT &amp; UTILITY DESIGN: Premium Purple United Kids Boys Trousers designed with relaxed-fit cargo styling, multi-utility pockets and soft cotton-rich fabric for all-day comfort and effortless everyday movement.
* RELAXED FIT &amp; EASY MOBILITY: Designed for boys with a relaxed silhouette and comfortable fit. Ideal for casual styling, active play, outings and daily wear with easy movement and a modern utility-inspired look.
* PREMIUM FABRIC &amp; LONG-LASTING DURABILITY: Crafted from durable cotton-rich fabric with quality stitching, reinforced seams and sturdy snap-button pockets for long-lasting comfort and everyday wear performance.
* CONTEMPORARY CARGO STYLING &amp; DETAILS: Features a versatile colour with utility cargo details, multi-pocket styling and a contemporary streetwear-inspired design perfect for casual outings and smart everyday fashion.
* CARE INSTRUCTIONS &amp; BOX CONTENT: Includes 1 Kids Boys Trousers. Machine wash with similar colours, use mild detergent and avoid bleach to maintain fabric quality and colour freshness.</t>
        </is>
      </c>
      <c r="N237" s="48" t="inlineStr">
        <is>
          <t>Purple United Kids presents these stylish Kids Boys Trousers designed for modern young trendsetters who value comfort and functionality. Inspired by contemporary utility fashion, these trousers combine relaxed styling with practical detailing, creating a premium everyday wardrobe essential for active boys.
Crafted from soft cotton-rich fabric, these Trousers for Boys feature a relaxed fit silhouette with multiple utility pockets and premium snap-button detailing for elevated everyday styling. The breathable fabric construction provides lightweight comfort while maintaining a structured appearance throughout the day. Designed with durable stitching and a flexible fit, these boys casual trousers deliver easy movement and long-lasting wear. Functional pocket detailing enhances utility while adding a modern cargo-inspired fashion appeal suitable for everyday use.
These Kids Boys Trousers are designed to provide superior comfort, durability, and versatile styling for active kids. The soft fabric ensures all-day comfort while allowing unrestricted movement during play and everyday activities. Premium construction supports long-lasting wear, while utility-inspired styling adds a fashionable edge. These boys cotton trousers pair effortlessly with tshirts, shirts, hoodies, and sneakers, making them suitable for multiple outfit combinations.
Perfect for casual outings, family gatherings, travel, vacations, playtime activities, school events, weekend styling, and everyday wear. These trousers for kids boys deliver a stylish utility-inspired look that easily transitions from relaxed daytime wear to smart casual occasions.
Upgrade your child's wardrobe with these premium Kids Boys Trousers from Purple United Kids. Please refer to the size chart for the ideal fit and comfortable wear experience. Package includes 1 Kids Boys Trousers. Machine wash with similar colours, avoid bleach, and dry in shade to maintain fabric softness, colour quality, and overall garment durability.</t>
        </is>
      </c>
    </row>
    <row r="238">
      <c r="A238" s="42" t="n"/>
      <c r="B238" s="34" t="inlineStr">
        <is>
          <t>PBTRCS003404</t>
        </is>
      </c>
      <c r="C238" s="34" t="inlineStr">
        <is>
          <t>APPAREL</t>
        </is>
      </c>
      <c r="D238" s="34" t="inlineStr">
        <is>
          <t>TROUSER</t>
        </is>
      </c>
      <c r="E238" s="34" t="inlineStr">
        <is>
          <t>KIDS BOYS</t>
        </is>
      </c>
      <c r="F238" s="34" t="inlineStr">
        <is>
          <t>OLIVE</t>
        </is>
      </c>
      <c r="G238" s="34" t="inlineStr">
        <is>
          <t>PBTRCS003404-OLIVE</t>
        </is>
      </c>
      <c r="H238" s="49" t="inlineStr">
        <is>
          <t>Purple United Kids Boys Trouser | Relaxed Fit Multi Pocket Cargo Styling | Snap Button Utility Pockets | Soft Cotton Rich Fabric | Olive | Casual Everyday Premium Wear</t>
        </is>
      </c>
      <c r="I238" s="48" t="inlineStr">
        <is>
          <t>Boys Olive Cargo Fit Trouser</t>
        </is>
      </c>
      <c r="J238" s="49" t="inlineStr">
        <is>
          <t>Purple United Kids Boys Olive Relaxed Fit Multi Pocket Cargo Styling Activewear Trouser</t>
        </is>
      </c>
      <c r="K238" s="49" t="inlineStr">
        <is>
          <t>Kids Boys Trousers Olive Relaxed Fit Multi Pocket Activewear Cargo Styling with Snap Detail</t>
        </is>
      </c>
      <c r="L238" s="49" t="inlineStr">
        <is>
          <t>Purple United Kids Boys Trousers in Olive with Relaxed Fit &amp; Activewear Cargo Styling</t>
        </is>
      </c>
      <c r="M238" s="51" t="inlineStr">
        <is>
          <t>* ALL-DAY COMFORT &amp; UTILITY DESIGN: Premium Purple United Kids Boys Trousers designed with relaxed-fit cargo styling, multi-utility pockets and soft cotton-rich fabric for all-day comfort and effortless everyday movement.
* RELAXED FIT &amp; EASY MOBILITY: Designed for boys with a relaxed silhouette and comfortable fit. Ideal for casual styling, active play, outings and daily wear with easy movement and a modern utility-inspired look.
* PREMIUM FABRIC &amp; LONG-LASTING DURABILITY: Crafted from durable cotton-rich fabric with quality stitching, reinforced seams and sturdy snap-button pockets for long-lasting comfort and everyday wear performance.
* CONTEMPORARY CARGO STYLING &amp; DETAILS: Features a versatile colour with utility cargo details, multi-pocket styling and a contemporary streetwear-inspired design perfect for casual outings and smart everyday fashion.
* CARE INSTRUCTIONS &amp; BOX CONTENT: Includes 1 Kids Boys Trousers. Machine wash with similar colours, use mild detergent and avoid bleach to maintain fabric quality and colour freshness.</t>
        </is>
      </c>
      <c r="N238" s="48" t="inlineStr">
        <is>
          <t>Purple United Kids presents these stylish Kids Boys Trousers designed for modern young trendsetters who value comfort and functionality. Inspired by contemporary utility fashion, these trousers combine relaxed styling with practical detailing, creating a premium everyday wardrobe essential for active boys.
Crafted from soft cotton-rich fabric, these Trousers for Boys feature a relaxed fit silhouette with multiple utility pockets and premium snap-button detailing for elevated everyday styling. The breathable fabric construction provides lightweight comfort while maintaining a structured appearance throughout the day. Designed with durable stitching and a flexible fit, these boys casual trousers deliver easy movement and long-lasting wear. Functional pocket detailing enhances utility while adding a modern cargo-inspired fashion appeal suitable for everyday use.
These Kids Boys Trousers are designed to provide superior comfort, durability, and versatile styling for active kids. The soft fabric ensures all-day comfort while allowing unrestricted movement during play and everyday activities. Premium construction supports long-lasting wear, while utility-inspired styling adds a fashionable edge. These boys cotton trousers pair effortlessly with tshirts, shirts, hoodies, and sneakers, making them suitable for multiple outfit combinations.
Perfect for casual outings, family gatherings, travel, vacations, playtime activities, school events, weekend styling, and everyday wear. These trousers for kids boys deliver a stylish utility-inspired look that easily transitions from relaxed daytime wear to smart casual occasions.
Upgrade your child's wardrobe with these premium Kids Boys Trousers from Purple United Kids. Please refer to the size chart for the ideal fit and comfortable wear experience. Package includes 1 Kids Boys Trousers. Machine wash with similar colours, avoid bleach, and dry in shade to maintain fabric softness, colour quality, and overall garment durability.</t>
        </is>
      </c>
    </row>
    <row r="239">
      <c r="A239" s="42" t="n"/>
      <c r="B239" s="34" t="inlineStr">
        <is>
          <t>TBBTBA003027</t>
        </is>
      </c>
      <c r="C239" s="34" t="inlineStr">
        <is>
          <t>FOOTWEAR</t>
        </is>
      </c>
      <c r="D239" s="34" t="inlineStr">
        <is>
          <t>BOOTIES</t>
        </is>
      </c>
      <c r="E239" s="34" t="inlineStr">
        <is>
          <t>KIDS BOYS</t>
        </is>
      </c>
      <c r="F239" s="34" t="inlineStr">
        <is>
          <t>WHITE</t>
        </is>
      </c>
      <c r="G239" s="34" t="inlineStr">
        <is>
          <t>TBBTBA003027-WHITE</t>
        </is>
      </c>
      <c r="H239" s="49" t="n"/>
      <c r="I239" s="48" t="n"/>
      <c r="J239" s="49" t="n"/>
      <c r="K239" s="49" t="inlineStr">
        <is>
          <t>Kids Boys Booties in White with Breathable Contrast Panel, Hook &amp; Loop for Comfort Wear</t>
        </is>
      </c>
      <c r="L239" s="49" t="n"/>
      <c r="M239" s="51" t="inlineStr">
        <is>
          <t>* COMFORT-DRIVEN DESIGN: Toothless Kids Boys Booties are designed with breathable mesh panels and a soft cushioned inner feel to provide lightweight comfort and airflow for tiny feet throughout the day.
* SECURE FIT &amp; EASY WEAR: Specially designed for infants and toddlers with a convenient hook &amp; loop closure and stretch lace styling that offers easy wearability and a secure fit for growing feet.
* DURABLE &amp; FLEXIBLE CONSTRUCTION: Crafted with premium-quality materials and a lightweight flexible sole that supports natural foot movement while ensuring durability for daily adventures and active play.
* SPORTY PREMIUM STYLING: Featuring a modern contrast-panel design with signature Toothless branding, these Kids Boys Booties add a sporty and stylish touch to everyday casual looks.
* CARE &amp; PACKAGE CONTENTS: Easy to maintain by wiping with a soft cloth; avoid machine wash for long-lasting quality. Package contains: 1 Pair of Toothless by Purple United Kids Boys Booties.</t>
        </is>
      </c>
      <c r="N239" s="48" t="inlineStr">
        <is>
          <t>Step into premium comfort with Toothless Kids Boys Booties, thoughtfully designed for little explorers taking their first steps. Combining sporty aesthetics with everyday functionality, these booties are crafted to provide comfort, style, and flexibility for infants and toddlers. Built for growing feet, they deliver a premium footwear experience while keeping tiny feet supported and comfortable.
Designed with breathable mesh panel detailing and high-quality upper materials, these Kids Boys Booties promote airflow for enhanced comfort during extended wear. The soft cushioned inner construction provides a gentle feel, while the lightweight flexible sole encourages natural movement for crawling and early walking stages. The convenient hook &amp; loop closure with stretch lace styling allows quick wearing and a snug fit.
Created with durability and comfort in mind, these baby shoes are lightweight yet supportive enough for active little movements. The flexible sole construction helps provide stability and ease of movement, while the premium build quality ensures long-lasting performance for everyday wear. These Kids Boys Booties are designed to support tiny feet without compromising on style.
Perfect for family outings, casual wear, playtime, birthdays, park visits, travel days, and daily adventures, these versatile baby booties pair effortlessly with modern kidswear. Their sporty contrast styling creates a premium look suitable for every occasion.
Choose Toothless by Purple United Kids for stylish footwear designed around comfort and movement. Please refer to the size chart before ordering for the best fit. Care instructions: wipe clean using a soft cloth and avoid machine washing. Package contains: 1 Pair of Kids Boys Booties.</t>
        </is>
      </c>
    </row>
    <row r="240">
      <c r="A240" s="42" t="n"/>
      <c r="B240" s="34" t="inlineStr">
        <is>
          <t>TBBTBA003029</t>
        </is>
      </c>
      <c r="C240" s="34" t="inlineStr">
        <is>
          <t>FOOTWEAR</t>
        </is>
      </c>
      <c r="D240" s="34" t="inlineStr">
        <is>
          <t>BOOTIES</t>
        </is>
      </c>
      <c r="E240" s="34" t="inlineStr">
        <is>
          <t>KIDS BOYS</t>
        </is>
      </c>
      <c r="F240" s="34" t="inlineStr">
        <is>
          <t>BROWN</t>
        </is>
      </c>
      <c r="G240" s="34" t="inlineStr">
        <is>
          <t>TBBTBA003029-BROWN</t>
        </is>
      </c>
      <c r="H240" s="49" t="n"/>
      <c r="I240" s="48" t="n"/>
      <c r="J240" s="49" t="n"/>
      <c r="K240" s="49" t="inlineStr">
        <is>
          <t>Kids Boys Booties in Brown with Soft Cushioned Sole &amp; Velcro Closure for All Day Comfort</t>
        </is>
      </c>
      <c r="L240" s="49" t="n"/>
      <c r="M240" s="51" t="inlineStr">
        <is>
          <t>* PREMIUM COMFORT EXPERIENCE: Toothless Kids Boys Booties are designed with a soft cushioned inner feel and lightweight construction that keeps tiny feet comfortable for everyday movement and all-day wear.
* SECURE FIT &amp; EASY WEAR: Thoughtfully designed for infants and toddlers with an adjustable hook &amp; loop closure for easy on-and-off wear and a secure fit that supports growing feet.
* DURABLE FLEXIBLE CONSTRUCTION: Crafted using premium textured and suede-look materials with a soft flexible sole that encourages natural movement while delivering durability for everyday adventures.
* CLASSIC STYLING: Featuring rich brown tones with contrast detailing and handcrafted-inspired stitching, these Kids Boys Booties deliver a stylish premium look for modern little wardrobes.
* CARE &amp; PACKAGE CONTENTS: Clean gently using a soft dry cloth and avoid machine washing for long-lasting quality. Package contains: 1 Pair of Toothless by Purple United Kids Boys Booties.</t>
        </is>
      </c>
      <c r="N240" s="48" t="inlineStr">
        <is>
          <t>Introduce timeless style and everyday comfort with Toothless Kids Kids Boys Booties, designed especially for little feet taking their first steps. Combining premium craftsmanship with a modern classic aesthetic, these booties provide the perfect balance of style, comfort, and flexibility for infants and toddlers.
These Kids Boys Booties feature premium textured and suede-finish upper detailing that creates a refined look while maintaining softness and comfort. The cushioned inner construction offers a gentle feel against tiny feet, while the lightweight flexible sole supports natural movement during crawling and early walking stages. The easy hook &amp; loop closure ensures quick wearability with a secure fit.
Designed for active little explorers, these baby shoes provide lightweight support without restricting movement. The flexible sole construction encourages comfort and stability, while the durable premium build ensures these booties can keep up with everyday activities. Suitable for little feet in growing stages, these shoes are thoughtfully crafted to blend functionality with elevated style.
Perfect for birthdays, family gatherings, festive occasions, casual outings, playdates, travel, and everyday wear, these versatile Kids Boys Booties pair effortlessly with modern kidswear and premium outfits.
Choose Toothless by Purple United Kids for footwear designed with style and comfort in every step. Please refer to the size chart before ordering for the best fit. Care instructions: wipe clean with a soft cloth and avoid machine wash. Package contains: 1 Pair of Kids Boys Booties.</t>
        </is>
      </c>
    </row>
    <row r="241">
      <c r="A241" s="42" t="n"/>
      <c r="B241" s="34" t="inlineStr">
        <is>
          <t>PGLWLS003320</t>
        </is>
      </c>
      <c r="C241" s="34" t="inlineStr">
        <is>
          <t>APPAREL</t>
        </is>
      </c>
      <c r="D241" s="34" t="inlineStr">
        <is>
          <t>LOWER</t>
        </is>
      </c>
      <c r="E241" s="34" t="inlineStr">
        <is>
          <t>KIDS GIRLS</t>
        </is>
      </c>
      <c r="F241" s="34" t="inlineStr">
        <is>
          <t>FUCHSIA</t>
        </is>
      </c>
      <c r="G241" s="34" t="inlineStr">
        <is>
          <t>PGLWLS003320-FUCHSIA</t>
        </is>
      </c>
      <c r="H241" s="49" t="inlineStr">
        <is>
          <t>Purple United Kids Girls Lower | Contemporary Fashion | Wide Leg Fit | Elasticated Waist | Stud Detail | Fuchsia | Soft Comfortable Fabric | Premium Everyday Wear Lower for Girls</t>
        </is>
      </c>
      <c r="I241" s="48" t="inlineStr">
        <is>
          <t>Girls Fuchsia Wide Leg Lower</t>
        </is>
      </c>
      <c r="J241" s="49" t="inlineStr">
        <is>
          <t>Purple United Kids Girls Fuchsia Wide Leg Stud Detail Elasticated Waist Comfort Lower</t>
        </is>
      </c>
      <c r="K241" s="49" t="inlineStr">
        <is>
          <t>Kids Girls Lower in Fuchsia with Wide Leg Design, Stud Detail &amp; Elasticated Waist Comfort</t>
        </is>
      </c>
      <c r="L241" s="49" t="inlineStr">
        <is>
          <t>Purple United Kids Girls Lower in Fuchsia with Wide Leg Design &amp; Elasticated Waist</t>
        </is>
      </c>
      <c r="M241" s="51" t="inlineStr">
        <is>
          <t>* FLOWY WIDE LEG COMFORT: Lower for girls crafted in soft comfortable fabric with a flowy wide-leg silhouette that delivers effortless movement and all-day comfort. Lightweight construction makes it ideal for everyday wear, outings, and seasonal styling.
* RELAXED FASHION-FORWARD FIT: Designed with a comfortable elasticated waistband and relaxed wide-leg fit for easy wearability. The contemporary silhouette creates a stylish statement while allowing unrestricted movement throughout the day.
* PREMIUM STUD ACCENT FINISH: Thoughtfully detailed with metallic stud embellishments along the side panels for a modern premium look. The elevated detailing adds a fashionable edge while maintaining a clean and sophisticated appearance.
* COMFORT WITH EVERYDAY UTILITY: Features a flexible waistband and practical back pockets that combine functionality with style. Designed to support active lifestyles while ensuring lasting comfort and convenience.
* EASY DAILY MAINTENANCE: Machine wash with similar colours, avoid bleach, and dry in shade for best fabric care and colour retention. Package includes 1 Kids Girls Lower designed by Purple United for premium comfort and contemporary everyday fashion.</t>
        </is>
      </c>
      <c r="N241" s="48" t="inlineStr">
        <is>
          <t>Purple United Kids presents this premium lower for girls in vibrant colour, thoughtfully designed to blend contemporary fashion with everyday comfort. Featuring a flowy wide-leg silhouette and elevated detailing, this stylish lower brings effortless sophistication to modern kidswear while ensuring all-day ease for active young girls.
Crafted from soft and comfortable fabric, these kids girls lowers feature a flexible elasticated waistband for a secure fit, a wide-leg design for enhanced movement, and stylish metallic stud detailing along the side panels for a refined fashion-forward look. The relaxed construction is complemented by functional back pockets and a smooth finish that delivers both comfort and premium appeal.
Designed for versatility and comfort, these lowers for girls offer unrestricted movement, breathable wearability, and a relaxed fit ideal for everyday activities. The lightweight fabric feels gentle on the skin, while the wide-leg silhouette creates a modern and graceful look. Easy to pair with tops, tees, shirts, and jackets, this lower effortlessly transitions from casual outings to stylish everyday dressing.
Perfect for casual outings, weekend wear, vacations, family gatherings, travel, shopping trips, playdates, and festive casual occasions, these kids girls lowers add a fashionable edge to every wardrobe. The vibrant colour and premium detailing make them an ideal choice for both everyday styling and special moments.
Refresh your child's wardrobe with this premium lower for girls from Purple United Kids. Designed for comfort, movement, and modern fashion, it is a must-have addition to every young trendsetter's collection. Refer to the size chart for the best fit. Machine wash with similar colours, avoid bleach, and dry in shade to maintain fabric quality and colour vibrancy.</t>
        </is>
      </c>
    </row>
    <row r="242">
      <c r="A242" s="42" t="n"/>
      <c r="B242" s="34" t="inlineStr">
        <is>
          <t>PGLWLS003320</t>
        </is>
      </c>
      <c r="C242" s="34" t="inlineStr">
        <is>
          <t>APPAREL</t>
        </is>
      </c>
      <c r="D242" s="34" t="inlineStr">
        <is>
          <t>LOWER</t>
        </is>
      </c>
      <c r="E242" s="34" t="inlineStr">
        <is>
          <t>KIDS GIRLS</t>
        </is>
      </c>
      <c r="F242" s="34" t="inlineStr">
        <is>
          <t>NAVY BLUE</t>
        </is>
      </c>
      <c r="G242" s="34" t="inlineStr">
        <is>
          <t>PGLWLS003320-NAVY BLUE</t>
        </is>
      </c>
      <c r="H242" s="49" t="inlineStr">
        <is>
          <t>Purple United Kids Girls Lower | Contemporary Fashion | Wide Leg Fit | Elasticated Waist | Stud Detail | Navy Blue | Soft Comfortable Fabric | Premium Everyday Wear Lower for Girls</t>
        </is>
      </c>
      <c r="I242" s="48" t="inlineStr">
        <is>
          <t>Girls Navy Blue Wide Leg Lower</t>
        </is>
      </c>
      <c r="J242" s="49" t="inlineStr">
        <is>
          <t>Purple United Kids Girls Navy Blue Wide Leg Stud Detail Elasticated Waist Comfort Lower</t>
        </is>
      </c>
      <c r="K242" s="49" t="inlineStr">
        <is>
          <t>Kids Girls Lower in Navy Blue with Wide Leg Design, Stud Detail &amp; Elasticated Waist Comfort</t>
        </is>
      </c>
      <c r="L242" s="49" t="inlineStr">
        <is>
          <t>Purple United Kids Girls Lower in Navy Blue with Wide Leg Design &amp; Elasticated Waist</t>
        </is>
      </c>
      <c r="M242" s="51" t="inlineStr">
        <is>
          <t>* FLOWY WIDE LEG COMFORT: Lower for girls crafted in soft comfortable fabric with a flowy wide-leg silhouette that delivers effortless movement and all-day comfort. Lightweight construction makes it ideal for everyday wear, outings, and seasonal styling.
* RELAXED FASHION-FORWARD FIT: Designed with a comfortable elasticated waistband and relaxed wide-leg fit for easy wearability. The contemporary silhouette creates a stylish statement while allowing unrestricted movement throughout the day.
* PREMIUM STUD ACCENT FINISH: Thoughtfully detailed with metallic stud embellishments along the side panels for a modern premium look. The elevated detailing adds a fashionable edge while maintaining a clean and sophisticated appearance.
* COMFORT WITH EVERYDAY UTILITY: Features a flexible waistband and practical back pockets that combine functionality with style. Designed to support active lifestyles while ensuring lasting comfort and convenience.
* EASY DAILY MAINTENANCE: Machine wash with similar colours, avoid bleach, and dry in shade for best fabric care and colour retention. Package includes 1 Kids Girls Lower designed by Purple United for premium comfort and contemporary everyday fashion.</t>
        </is>
      </c>
      <c r="N242" s="48" t="inlineStr">
        <is>
          <t>Purple United Kids presents this premium lower for girls in vibrant colour, thoughtfully designed to blend contemporary fashion with everyday comfort. Featuring a flowy wide-leg silhouette and elevated detailing, this stylish lower brings effortless sophistication to modern kidswear while ensuring all-day ease for active young girls.
Crafted from soft and comfortable fabric, these kids girls lowers feature a flexible elasticated waistband for a secure fit, a wide-leg design for enhanced movement, and stylish metallic stud detailing along the side panels for a refined fashion-forward look. The relaxed construction is complemented by functional back pockets and a smooth finish that delivers both comfort and premium appeal.
Designed for versatility and comfort, these lowers for girls offer unrestricted movement, breathable wearability, and a relaxed fit ideal for everyday activities. The lightweight fabric feels gentle on the skin, while the wide-leg silhouette creates a modern and graceful look. Easy to pair with tops, tees, shirts, and jackets, this lower effortlessly transitions from casual outings to stylish everyday dressing.
Perfect for casual outings, weekend wear, vacations, family gatherings, travel, shopping trips, playdates, and festive casual occasions, these kids girls lowers add a fashionable edge to every wardrobe. The vibrant colour and premium detailing make them an ideal choice for both everyday styling and special moments.
Refresh your child's wardrobe with this premium lower for girls from Purple United Kids. Designed for comfort, movement, and modern fashion, it is a must-have addition to every young trendsetter's collection. Refer to the size chart for the best fit. Machine wash with similar colours, avoid bleach, and dry in shade to maintain fabric quality and colour vibrancy.</t>
        </is>
      </c>
    </row>
    <row r="243">
      <c r="A243" s="42" t="n"/>
      <c r="B243" s="34" t="inlineStr">
        <is>
          <t>PGDNJA003289</t>
        </is>
      </c>
      <c r="C243" s="34" t="inlineStr">
        <is>
          <t>APPAREL</t>
        </is>
      </c>
      <c r="D243" s="34" t="inlineStr">
        <is>
          <t>DENIM JEANS</t>
        </is>
      </c>
      <c r="E243" s="34" t="inlineStr">
        <is>
          <t>KIDS GIRLS</t>
        </is>
      </c>
      <c r="F243" s="34" t="inlineStr">
        <is>
          <t>MID BLUE</t>
        </is>
      </c>
      <c r="G243" s="34" t="inlineStr">
        <is>
          <t>PGDNJA003289-MID BLUE</t>
        </is>
      </c>
      <c r="H243" s="49" t="inlineStr">
        <is>
          <t>Purple United Kids Girls Jeans | Wide Leg Silhouette | High Rise Waist | Soft Denim Finish | Breathable Fabric | Relaxed Fashion Fit | Mid Blue | Premium Everyday Styling</t>
        </is>
      </c>
      <c r="I243" s="48" t="inlineStr">
        <is>
          <t>Girls Casual Denim Jeans</t>
        </is>
      </c>
      <c r="J243" s="49" t="inlineStr">
        <is>
          <t>Purple United Kids Girls Mid Blue Wide Leg High Rise Fit Breathable Fabric Comfort Jeans</t>
        </is>
      </c>
      <c r="K243" s="49" t="inlineStr">
        <is>
          <t>Kids Girls Jeans in Mid Blue with Wide Leg High Rise Fit &amp; Airy Fabric for Daily Comfort</t>
        </is>
      </c>
      <c r="L243" s="49" t="inlineStr">
        <is>
          <t>Purple United Kids Girls Jeans in Mid Blue with Wide Leg High Rise Comfort Fit</t>
        </is>
      </c>
      <c r="M243" s="51" t="inlineStr">
        <is>
          <t>* PREMIUM DENIM COMFORT: Premium Kids Girls Jeans in mid blue with soft denim fabric, wide leg silhouette and high rise comfort fit for elevated everyday fashion styling.
* RELAXED WIDE LEG FIT: Designed for kids girls with a relaxed baggy fit and easy movement silhouette, perfect for casual wear, outings and all-day comfort.
* DURABLE DENIM CRAFTSMANSHIP: Crafted with durable denim fabric, reinforced stitching and quality finish for long-lasting comfort, shape retention and everyday wear.
* TRENDY FASHION DETAILING: Stylish Girls Denim with wide leg design, clean stitch detailing, functional pockets and signature Purple United branding for modern fashion appeal.
* EASY CARE &amp; PACKAGE CONTENT: Easy to maintain with gentle machine wash care; package contains 1 pair of Purple United Kids Girls Jeans in mid blue denim finish.</t>
        </is>
      </c>
      <c r="N243" s="48" t="inlineStr">
        <is>
          <t>Purple United Kids presents these premium Kids Girls Jeans in a stylish mid blue wash designed for modern everyday fashion. Featuring a relaxed wide leg silhouette and elevated denim styling, these jeans are created for girls who love comfort with trend-focused fashion. Perfect for casual wardrobes, these jeans blend versatility, comfort and premium craftsmanship for all-day wear.
Crafted from high-quality soft denim fabric, these Girls Jeans feature a relaxed baggy fit with a flattering high rise waist for enhanced comfort and effortless movement. The durable denim construction provides long-lasting wear while maintaining shape and structure. Designed with functional pockets, belt loops, button closure and clean stitch detailing, these Kids Girls Jeans combine utility with contemporary styling. The mid blue finish adds a timeless denim appeal suitable for modern everyday outfits.
These premium Girls Denim jeans are designed to provide superior comfort and flexibility for active kids. The breathable fabric and relaxed wide leg silhouette allow unrestricted movement during daily activities, outings and playtime. Compared to regular denim styles, these wide leg jeans for girls offer a more fashion-forward look with enhanced comfort and premium detailing. The structured construction and quality finish make them ideal for repeated wear without compromising style.
Perfect for casual outings, weekend wear, travel looks, birthday celebrations, shopping trips and everyday fashion styling, these girls baggy jeans pair effortlessly with crop tops, tshirts, sweatshirts and sneakers. Their modern silhouette makes them suitable for both relaxed casual dressing and elevated street-style inspired outfits.
Please refer to the size chart before purchase for the ideal fit. Gentle machine wash recommended to maintain fabric quality, colour and durability. Package includes 1 pair of Purple United Kids Girls Jeans in mid blue denim finish.</t>
        </is>
      </c>
    </row>
    <row r="244">
      <c r="A244" s="42" t="n"/>
      <c r="B244" s="34" t="inlineStr">
        <is>
          <t>PBDNBS003264</t>
        </is>
      </c>
      <c r="C244" s="34" t="inlineStr">
        <is>
          <t>APPAREL</t>
        </is>
      </c>
      <c r="D244" s="34" t="inlineStr">
        <is>
          <t>BERMUDA</t>
        </is>
      </c>
      <c r="E244" s="34" t="inlineStr">
        <is>
          <t>KIDS BOYS</t>
        </is>
      </c>
      <c r="F244" s="34" t="inlineStr">
        <is>
          <t>BLUE</t>
        </is>
      </c>
      <c r="G244" s="34" t="inlineStr">
        <is>
          <t>PBDNBS003264-BLUE</t>
        </is>
      </c>
      <c r="H244" s="49" t="inlineStr">
        <is>
          <t>Purple United Kids Boys Bermuda | Utility Pocket Design | Relaxed Comfort Fit | Adjustable Drawstring Waist | Sweat-Ready Fabric | Blue Denim | Premium Casual Bermuda For Boys</t>
        </is>
      </c>
      <c r="I244" s="48" t="inlineStr">
        <is>
          <t>Boys Blue Daily Wear Bermuda</t>
        </is>
      </c>
      <c r="J244" s="49" t="inlineStr">
        <is>
          <t>Purple United Kids Boys Blue Denim Utility Pockets Elastic Relaxed Fit Active Wear Bermuda</t>
        </is>
      </c>
      <c r="K244" s="49" t="inlineStr">
        <is>
          <t>Kids Boys Bermuda in Blue Denim with Utility Pockets &amp; Relaxed Fit, Perfect for Activewear</t>
        </is>
      </c>
      <c r="L244" s="49" t="inlineStr">
        <is>
          <t>Purple United Kids Boys Bermuda in Blue Denim with Utility Pockets &amp; Relaxed Fit</t>
        </is>
      </c>
      <c r="M244" s="51" t="inlineStr">
        <is>
          <t>* PREMIUM DENIM COMFORT: Purple United Kids Boys Bermuda crafted in soft washed denim with a relaxed silhouette, breathable comfort, and smooth feel for all-day ease and stylish everyday wear.
* RELAXED FIT &amp; EASY WAIST: Designed for growing kids with an elasticated waistband, adjustable drawstring closure, and relaxed knee-length fit that offers easy movement and comfortable wear.
* UTILITY INSPIRED DETAILS: Durable denim construction with utility cargo pockets, reinforced stitching, and rolled hems adds a premium fashion-forward look with functional everyday styling.
* TRENDY BLUE DENIM LOOK: Stylish Bermuda For Boys in versatile blue denim with utility pocket detailing, washed texture, and modern casual appeal for outings, holidays, and weekend dressing.
* EASY CARE &amp; PACKAGE CONTENT: Machine wash friendly denim bermuda designed for regular use and long-lasting wear; Package Includes 1 Kids Boys Bermuda from Purple United Kids.</t>
        </is>
      </c>
      <c r="N244" s="48" t="inlineStr">
        <is>
          <t>Purple United Kids presents stylish Kids Boys Bermuda designed for modern young trendsetters who love comfort with statement fashion. Crafted in premium blue denim with utility-inspired detailing, this bermuda adds a smart casual edge to every wardrobe while keeping everyday dressing relaxed and effortless.
Made with soft washed denim, this Bermuda For Boys features a breathable feel, elasticated waistband with adjustable drawstring, utility cargo pockets, rolled hems, and a relaxed knee-length silhouette. The premium denim finish and detailed stitching enhance the overall fashion-forward appeal while ensuring comfort during active play and everyday movement.
Designed for all-day comfort, these kids boys bermuda shorts offer easy flexibility, lightweight feel, and durable construction suitable for daily wear. The relaxed fit allows unrestricted movement, while the utility pocket design adds practical style. Perfect for kids who enjoy trendy fashion with functional comfort and long-lasting quality.
Ideal for vacations, casual outings, summer activities, playdates, travel, family gatherings, and weekend styling. Pair these bermuda kids denim boys shorts with t-shirts, polos, or casual shirts for an elevated smart-casual look suitable across seasons.
Upgrade your child’s wardrobe with Purple United Kids premium denim fashion. Please refer to the size chart before purchase for the best fit. Easy machine wash care for everyday convenience | Package Includes: 1 Kids Boys Bermuda in Blue Denim.</t>
        </is>
      </c>
    </row>
    <row r="245">
      <c r="A245" s="42" t="n"/>
      <c r="B245" s="34" t="inlineStr">
        <is>
          <t>PGDNJA003288</t>
        </is>
      </c>
      <c r="C245" s="34" t="inlineStr">
        <is>
          <t>APPAREL</t>
        </is>
      </c>
      <c r="D245" s="34" t="inlineStr">
        <is>
          <t>DENIM JEANS</t>
        </is>
      </c>
      <c r="E245" s="34" t="inlineStr">
        <is>
          <t>KIDS GIRLS</t>
        </is>
      </c>
      <c r="F245" s="34" t="inlineStr">
        <is>
          <t>BLACK</t>
        </is>
      </c>
      <c r="G245" s="34" t="inlineStr">
        <is>
          <t>PGDNJA003288-BLACK</t>
        </is>
      </c>
      <c r="H245" s="49" t="inlineStr">
        <is>
          <t>Purple United Kids Girls Jeans | Regular Fit Stretchable Denim | Comfortable Black Cotton Fabric | Durable Premium Quality | Casual Wear Jeans for Girls</t>
        </is>
      </c>
      <c r="I245" s="48" t="inlineStr">
        <is>
          <t>Girls Regular Fit Denim Jeans</t>
        </is>
      </c>
      <c r="J245" s="49" t="inlineStr">
        <is>
          <t>Purple United Kids Girls Black High Rise Wide Leg Relaxed Fit Stylish Wear Denim Jeans</t>
        </is>
      </c>
      <c r="K245" s="49" t="inlineStr">
        <is>
          <t>Kids Girls Jeans in Black Denim with Regular Fit &amp; Applique Bow Detail, Comfort Stylish Wear</t>
        </is>
      </c>
      <c r="L245" s="49" t="inlineStr">
        <is>
          <t>Purple United Kids Girls Jeans in Black Denim with Comfortable Fit &amp; Applique Bow Detail</t>
        </is>
      </c>
      <c r="M245" s="51" t="inlineStr">
        <is>
          <t>* PREMIUM FASHION DENIM: Purple United Kids Girls Jeans crafted in premium washed black denim with a soft feel, stylish wide leg silhouette, and statement applique bow detailing for elevated everyday fashion.
* TRENDY WIDE LEG FIT: Designed with a flattering high waist structure and relaxed wide leg fit that offers comfort, movement, and a modern baggy jeans for girls inspired premium street-style look.
* DURABLE DENIM QUALITY: Made using sturdy denim fabric with reinforced stitching, smooth finish, and lasting shape retention for regular wear, active movement, and long-term durability.
* STATEMENT APPLIQUE DESIGN: Stylish jeans for girls featuring distressed applique bow detailing and washed black finish that creates a chic fashion-forward look perfect for modern kids wardrobes.
* EASY CARE &amp; PACKAGE CONTENT: Machine wash friendly girls denim designed for effortless maintenance and repeated wear; Package Includes 1 Kids Girls Jeans from Purple United Kids.</t>
        </is>
      </c>
      <c r="N245" s="48" t="inlineStr">
        <is>
          <t>Purple United Kids introduces premium Kids Girls Jeans designed for confident young fashion lovers who enjoy standout style with everyday comfort. Featuring a modern black washed denim finish and statement applique bow detailing, these wide leg jeans bring contemporary street-style inspiration to kids fashion wardrobes.
Crafted in premium quality denim, these girls jeans feature a high waist silhouette, wide leg fit, soft washed finish, durable stitching, button closure, functional pockets, and unique applique detailing. The relaxed structure ensures breathable comfort while maintaining a polished premium look suitable for stylish everyday dressing.
These baggy jeans for girls combine trend-focused fashion with all-day comfort. The relaxed wide leg shape allows easy movement, while the durable denim construction supports active lifestyles. Designed for versatility and modern styling, these jeans for kids girls offer effortless pairing with tops, sneakers, jackets, and casual essentials.
Perfect for casual outings, vacations, shopping days, birthday parties, weekend wear, travel, photoshoots, and fashion-forward everyday styling. Pair these wide leg jeans for girls with trendy tops or oversized tees for a stylish premium kids fashion statement.
Upgrade your child’s wardrobe with Purple United Kids premium denim fashion collection. Please refer to the size chart before purchase for the best fit. Easy machine wash care ensures convenience and long-lasting quality; Package includes 1 Kids Girls Jeans in Black Denim.</t>
        </is>
      </c>
    </row>
    <row r="246">
      <c r="A246" s="34" t="n"/>
      <c r="B246" s="34" t="inlineStr">
        <is>
          <t>PGDRSS003287</t>
        </is>
      </c>
      <c r="C246" s="34" t="inlineStr">
        <is>
          <t>APPAREL</t>
        </is>
      </c>
      <c r="D246" s="34" t="inlineStr">
        <is>
          <t>DRESS</t>
        </is>
      </c>
      <c r="E246" s="34" t="inlineStr">
        <is>
          <t>KIDS GIRLS</t>
        </is>
      </c>
      <c r="F246" s="34" t="inlineStr">
        <is>
          <t>LT. GREEN</t>
        </is>
      </c>
      <c r="G246" s="34" t="inlineStr">
        <is>
          <t>PGDRSS003287-LT. GREEN</t>
        </is>
      </c>
      <c r="H246" s="49" t="inlineStr">
        <is>
          <t>Purple United Kids Girls Dress | Casual Design with Layered Frill Neckline | Premium Soft Breathable Fabric | Light Green | Elegant Flared Silhouette for Summer Comfort | Stylish Party Wear for Girls</t>
        </is>
      </c>
      <c r="I246" s="48" t="inlineStr">
        <is>
          <t>Girls Light Green Casual Dress</t>
        </is>
      </c>
      <c r="J246" s="49" t="inlineStr">
        <is>
          <t>Purple United Kids Girls Light Green Smocked Waist Soft Comfort Fabric Fit &amp; Flare Dress</t>
        </is>
      </c>
      <c r="K246" s="49" t="inlineStr">
        <is>
          <t>Kids Girls Dress in Light Green with Fit &amp; Flare Design, Smocked Waist &amp; Comfortable Regular Fit</t>
        </is>
      </c>
      <c r="L246" s="49" t="inlineStr">
        <is>
          <t>Purple United Kids Girls Dress in Light Green with Fit &amp; Flare Design and Smocked Waist</t>
        </is>
      </c>
      <c r="M246" s="51" t="inlineStr">
        <is>
          <t>* PREMIUM SHIRT DRESS STYLING: Purple United Kids Girls Dress designed with elegant stripe detailing, smart shirt collar styling, and a flattering smocked waist for a refined premium fashion look.
* COMFORTABLE MODERN FIT: Designed for growing kids with a relaxed silhouette, full sleeves, button-down front, and soft breathable fabric that ensures stylish all-day comfort and easy movement.
* SOFT &amp; DURABLE FABRIC: Crafted using premium quality lightweight fabric with neat stitching, smooth texture, and durable construction suitable for regular wear and repeated washing.
* ELEGANT STRIPED DESIGN: Stylish western dress for girls featuring timeless vertical stripes, gathered waist detailing, and a graceful flared silhouette perfect for modern kids fashion wardrobes.
* EASY CARE &amp; PACKAGE CONTENT: Machine wash friendly kids girls dress designed for effortless maintenance and long-lasting wear; Package Includes 1 Premium Kids Girls Dress from Purple United Kids.</t>
        </is>
      </c>
      <c r="N246" s="48" t="inlineStr">
        <is>
          <t>Purple United Kids presents a stylish Kids Girls Dress crafted for young fashion lovers who enjoy elegant comfort and premium everyday styling. Featuring sophisticated stripe detailing, a smart shirt collar, and a beautifully smocked waist, this dress blends timeless charm with contemporary kids fashion.
Made from premium lightweight fabric, this girls dress features a button-down front, full sleeves with gathered cuffs, breathable texture, flared hemline, and comfortable relaxed fit. The smocked waist design adds shape and elegance while maintaining all-day ease and flexibility for active kids.
This western dress for girls offers the perfect balance of style, comfort, and durability. The soft fabric keeps kids comfortable throughout the day, while the premium tailoring and elegant silhouette create a polished fashionable appearance suitable for multiple occasions and everyday premium wear.
Perfect for birthday parties, festive gatherings, casual outings, family events, vacations, school functions, and stylish everyday wear. Pair this kids girls dress with sneakers, sandals, or accessories for an effortlessly chic premium fashion statement.
Upgrade your child’s wardrobe with Purple United Kids premium fashion collection designed for comfort and standout style. Please refer to the size chart before purchase for the ideal fit. Easy machine wash care ensures convenient maintenance; Package includes 1 Kids Girls Dress in Stripe Design.</t>
        </is>
      </c>
    </row>
    <row r="247">
      <c r="A247" s="42" t="n"/>
      <c r="B247" s="34" t="inlineStr">
        <is>
          <t>PGDRSS003287</t>
        </is>
      </c>
      <c r="C247" s="34" t="inlineStr">
        <is>
          <t>APPAREL</t>
        </is>
      </c>
      <c r="D247" s="34" t="inlineStr">
        <is>
          <t>DRESS</t>
        </is>
      </c>
      <c r="E247" s="34" t="inlineStr">
        <is>
          <t>KIDS GIRLS</t>
        </is>
      </c>
      <c r="F247" s="34" t="inlineStr">
        <is>
          <t>LAVENDER</t>
        </is>
      </c>
      <c r="G247" s="34" t="inlineStr">
        <is>
          <t>PGDRSS003287-LAVENDER</t>
        </is>
      </c>
      <c r="H247" s="49" t="inlineStr">
        <is>
          <t>Purple United Kids Girls Dress | Casual Design with Layered Frill Neckline | Premium Soft Breathable Fabric | Lavender | Elegant Flared Silhouette for Summer Comfort | Stylish Party Wear for Girls</t>
        </is>
      </c>
      <c r="I247" s="48" t="inlineStr">
        <is>
          <t>Girls Lavender Casual Dress</t>
        </is>
      </c>
      <c r="J247" s="49" t="inlineStr">
        <is>
          <t>Purple United Kids Girls Lavender Smocked Waist Soft Comfort Fabric Fit &amp; Flare Dress</t>
        </is>
      </c>
      <c r="K247" s="49" t="inlineStr">
        <is>
          <t>Kids Girls Dress in Lavender with Fit &amp; Flare Design, Smocked Waist &amp; Comfortable Regular Fit</t>
        </is>
      </c>
      <c r="L247" s="49" t="inlineStr">
        <is>
          <t>Purple United Kids Girls Dress in Lavender with Fit &amp; Flare Design and Smocked Waist</t>
        </is>
      </c>
      <c r="M247" s="51" t="inlineStr">
        <is>
          <t>* PREMIUM SHIRT DRESS STYLING: Purple United Kids Girls Dress designed with elegant stripe detailing, smart shirt collar styling, and a flattering smocked waist for a refined premium fashion look.
* COMFORTABLE MODERN FIT: Designed for growing kids with a relaxed silhouette, full sleeves, button-down front, and soft breathable fabric that ensures stylish all-day comfort and easy movement.
* SOFT &amp; DURABLE FABRIC: Crafted using premium quality lightweight fabric with neat stitching, smooth texture, and durable construction suitable for regular wear and repeated washing.
* ELEGANT STRIPED DESIGN: Stylish western dress for girls featuring timeless vertical stripes, gathered waist detailing, and a graceful flared silhouette perfect for modern kids fashion wardrobes.
* EASY CARE &amp; PACKAGE CONTENT: Machine wash friendly kids girls dress designed for effortless maintenance and long-lasting wear; Package Includes 1 Premium Kids Girls Dress from Purple United Kids.</t>
        </is>
      </c>
      <c r="N247" s="48" t="inlineStr">
        <is>
          <t>Purple United Kids presents a stylish Kids Girls Dress crafted for young fashion lovers who enjoy elegant comfort and premium everyday styling. Featuring sophisticated stripe detailing, a smart shirt collar, and a beautifully smocked waist, this dress blends timeless charm with contemporary kids fashion.
Made from premium lightweight fabric, this girls dress features a button-down front, full sleeves with gathered cuffs, breathable texture, flared hemline, and comfortable relaxed fit. The smocked waist design adds shape and elegance while maintaining all-day ease and flexibility for active kids.
This western dress for girls offers the perfect balance of style, comfort, and durability. The soft fabric keeps kids comfortable throughout the day, while the premium tailoring and elegant silhouette create a polished fashionable appearance suitable for multiple occasions and everyday premium wear.
Perfect for birthday parties, festive gatherings, casual outings, family events, vacations, school functions, and stylish everyday wear. Pair this kids girls dress with sneakers, sandals, or accessories for an effortlessly chic premium fashion statement.
Upgrade your child’s wardrobe with Purple United Kids premium fashion collection designed for comfort and standout style. Please refer to the size chart before purchase for the ideal fit. Easy machine wash care ensures convenient maintenance; Package includes 1 Kids Girls Dress in Stripe Design.</t>
        </is>
      </c>
    </row>
    <row r="248">
      <c r="A248" s="42" t="n"/>
      <c r="B248" s="34" t="inlineStr">
        <is>
          <t>PGDRSS003287</t>
        </is>
      </c>
      <c r="C248" s="34" t="inlineStr">
        <is>
          <t>APPAREL</t>
        </is>
      </c>
      <c r="D248" s="34" t="inlineStr">
        <is>
          <t>DRESS</t>
        </is>
      </c>
      <c r="E248" s="34" t="inlineStr">
        <is>
          <t>KIDS GIRLS</t>
        </is>
      </c>
      <c r="F248" s="34" t="inlineStr">
        <is>
          <t>RED</t>
        </is>
      </c>
      <c r="G248" s="34" t="inlineStr">
        <is>
          <t>PGDRSS003287-RED</t>
        </is>
      </c>
      <c r="H248" s="49" t="inlineStr">
        <is>
          <t>Purple United Kids Girls Dress | Casual Design with Layered Frill Neckline | Premium Soft Breathable Fabric | Red | Elegant Flared Silhouette for Summer Comfort | Stylish Party Wear for Girls</t>
        </is>
      </c>
      <c r="I248" s="48" t="inlineStr">
        <is>
          <t>Girls Red Casual Wear Dress</t>
        </is>
      </c>
      <c r="J248" s="49" t="inlineStr">
        <is>
          <t>Purple United Kids Girls Red Smocked Waist Soft Comfort Fabric Fit &amp; Flare Dress</t>
        </is>
      </c>
      <c r="K248" s="49" t="inlineStr">
        <is>
          <t>Kids Girls Dress in Red with Fit &amp; Flare Design, Smocked Waist &amp; Comfortable Regular Fit</t>
        </is>
      </c>
      <c r="L248" s="49" t="inlineStr">
        <is>
          <t>Purple United Kids Girls Dress in Red with Fit &amp; Flare Design and Smocked Waist</t>
        </is>
      </c>
      <c r="M248" s="51" t="inlineStr">
        <is>
          <t>* PREMIUM SHIRT DRESS STYLING: Purple United Kids Girls Dress designed with elegant stripe detailing, smart shirt collar styling, and a flattering smocked waist for a refined premium fashion look.
* COMFORTABLE MODERN FIT: Designed for growing kids with a relaxed silhouette, full sleeves, button-down front, and soft breathable fabric that ensures stylish all-day comfort and easy movement.
* SOFT &amp; DURABLE FABRIC: Crafted using premium quality lightweight fabric with neat stitching, smooth texture, and durable construction suitable for regular wear and repeated washing.
* ELEGANT STRIPED DESIGN: Stylish western dress for girls featuring timeless vertical stripes, gathered waist detailing, and a graceful flared silhouette perfect for modern kids fashion wardrobes.
* EASY CARE &amp; PACKAGE CONTENT: Machine wash friendly kids girls dress designed for effortless maintenance and long-lasting wear; Package Includes 1 Premium Kids Girls Dress from Purple United Kids.</t>
        </is>
      </c>
      <c r="N248" s="48" t="inlineStr">
        <is>
          <t>Purple United Kids presents a stylish Kids Girls Dress crafted for young fashion lovers who enjoy elegant comfort and premium everyday styling. Featuring sophisticated stripe detailing, a smart shirt collar, and a beautifully smocked waist, this dress blends timeless charm with contemporary kids fashion.
Made from premium lightweight fabric, this girls dress features a button-down front, full sleeves with gathered cuffs, breathable texture, flared hemline, and comfortable relaxed fit. The smocked waist design adds shape and elegance while maintaining all-day ease and flexibility for active kids.
This western dress for girls offers the perfect balance of style, comfort, and durability. The soft fabric keeps kids comfortable throughout the day, while the premium tailoring and elegant silhouette create a polished fashionable appearance suitable for multiple occasions and everyday premium wear.
Perfect for birthday parties, festive gatherings, casual outings, family events, vacations, school functions, and stylish everyday wear. Pair this kids girls dress with sneakers, sandals, or accessories for an effortlessly chic premium fashion statement.
Upgrade your child’s wardrobe with Purple United Kids premium fashion collection designed for comfort and standout style. Please refer to the size chart before purchase for the ideal fit. Easy machine wash care ensures convenient maintenance; Package includes 1 Kids Girls Dress in Stripe Design.</t>
        </is>
      </c>
    </row>
    <row r="249">
      <c r="A249" s="42" t="n"/>
      <c r="B249" s="34" t="inlineStr">
        <is>
          <t>PBSRHS003395</t>
        </is>
      </c>
      <c r="C249" s="34" t="inlineStr">
        <is>
          <t>APPAREL</t>
        </is>
      </c>
      <c r="D249" s="34" t="inlineStr">
        <is>
          <t>SHIRT</t>
        </is>
      </c>
      <c r="E249" s="34" t="inlineStr">
        <is>
          <t>KIDS BOYS</t>
        </is>
      </c>
      <c r="F249" s="34" t="inlineStr">
        <is>
          <t>BLACK</t>
        </is>
      </c>
      <c r="G249" s="34" t="inlineStr">
        <is>
          <t>PBSRHS003395-BLACK</t>
        </is>
      </c>
      <c r="H249" s="49" t="inlineStr">
        <is>
          <t>Purple United Kids Boys Shirt  | Smart Casual Style | Relaxed Fit | Short Sleeve Design | Black | Lightweight Breathable Fabric | Premium Everyday Fashion Wear</t>
        </is>
      </c>
      <c r="I249" s="48" t="inlineStr">
        <is>
          <t>Boys Black Regular Fit Shirt</t>
        </is>
      </c>
      <c r="J249" s="49" t="inlineStr">
        <is>
          <t>Purple United Kids Boys Black Relaxed Fit Short Sleeve Smart Comfort Casual Styling Shirt</t>
        </is>
      </c>
      <c r="K249" s="49" t="inlineStr">
        <is>
          <t>Kids Boys Shirt in Black with Relaxed Fit &amp; Short Sleeve for Smart Comfort Casual Styling</t>
        </is>
      </c>
      <c r="L249" s="49" t="inlineStr">
        <is>
          <t>Purple United Kids Boys Shirt in Black with Relaxed Fit &amp; Short Sleeve Comfort</t>
        </is>
      </c>
      <c r="M249" s="51" t="inlineStr">
        <is>
          <t>* LIGHTWEIGHT PREMIUM COMFORT: Kids Boys Shirt crafted in lightweight breathable fabric for soft comfort and easy all-day wear. Smooth texture keeps kids comfortable during outings, travel, and everyday activities while offering a polished premium appearance.
* SMART CASUAL RELAXED FIT: Designed with a relaxed fit, structured collar, button-down front, and short sleeves for modern smart-casual styling. Comfortable silhouette allows easy movement while maintaining a refined fashionable look for boys.
* PREMIUM FABRIC &amp; STRONG STITCHING: Made using durable premium-quality fabric with neat stitching and long-lasting construction for repeated everyday wear. Designed to maintain softness, structure, print quality, and overall finish after multiple washes.
* SPORTY RACING GRAPHIC STYLE: Stylish boys shirt featuring bold racing car inspired chest graphic with contemporary typography detailing. Sporty statement design adds energetic street-fashion appeal to modern everyday kids styling.
* EASY DAILY MAINTENANCE: Machine wash cold with similar colours, avoid bleach, and dry in shade for best fabric care and durability. Package includes 1 Kids Boys Shirt designed for premium comfort and stylish everyday fashion.</t>
        </is>
      </c>
      <c r="N249" s="48" t="inlineStr">
        <is>
          <t>Purple United Kids presents a stylish Kids Boys Shirt designed for modern boys who love premium casual fashion with sporty graphic detailing. Featuring a bold racing car inspired chest print and smart button-down silhouette, this shirt combines contemporary design with everyday comfort. The clean colour and refined styling make it a versatile wardrobe essential for casual and semi-casual occasions.
Crafted using soft breathable cotton blend fabric, this boys shirt delivers lightweight comfort and smooth skin feel suitable for all-day wear. The design features a classic shirt collar, half sleeves, front button closure, relaxed regular fit, and premium graphic print detailing that adds a sporty fashion-forward touch. Durable stitching and quality construction help maintain shape, comfort, and print finish even after repeated washes.
Designed for active kids, this Kids Boys Shirt offers a balance of comfort, durability, and effortless styling. The breathable fabric supports airflow and keeps kids comfortable during outings, vacations, events, and daily activities. The relaxed silhouette allows unrestricted movement, while the premium racing-inspired graphic enhances the modern street-casual aesthetic.
Perfect for birthday parties, family outings, vacations, casual gatherings, weekend styling, school events, and festive occasions, this casual shirt pairs effortlessly with jeans, joggers, trousers, and sneakers for stylish everyday looks.
Gentle machine wash recommended with similar colours. Please refer to the size chart before purchase for the ideal fit. Package includes 1 Kids Boys Shirt featuring premium racing car graphic print, half sleeves, button-down styling, and breathable comfort for elevated kids fashion.</t>
        </is>
      </c>
    </row>
    <row r="250">
      <c r="A250" s="42" t="n"/>
      <c r="B250" s="34" t="inlineStr">
        <is>
          <t>PBSRHS003395</t>
        </is>
      </c>
      <c r="C250" s="34" t="inlineStr">
        <is>
          <t>APPAREL</t>
        </is>
      </c>
      <c r="D250" s="34" t="inlineStr">
        <is>
          <t>SHIRT</t>
        </is>
      </c>
      <c r="E250" s="34" t="inlineStr">
        <is>
          <t>KIDS BOYS</t>
        </is>
      </c>
      <c r="F250" s="34" t="inlineStr">
        <is>
          <t>WHITE</t>
        </is>
      </c>
      <c r="G250" s="34" t="inlineStr">
        <is>
          <t>PBSRHS003395-WHITE</t>
        </is>
      </c>
      <c r="H250" s="49" t="inlineStr">
        <is>
          <t>Purple United Kids Boys Shirt  | Smart Casual Style | Relaxed Fit | Short Sleeve Design | White | Lightweight Breathable Fabric | Premium Everyday Fashion Wear</t>
        </is>
      </c>
      <c r="I250" s="48">
        <f>IFERROR(__xludf.DUMMYFUNCTION("AI(""Fill an appropriate value for this cell based on the table context"")"),"Boys White Regular Fit Shirt")</f>
        <v/>
      </c>
      <c r="J250" s="49" t="inlineStr">
        <is>
          <t>Purple United Kids Boys White Relaxed Fit Short Sleeve Smart Comfort Casual Styling Shirt</t>
        </is>
      </c>
      <c r="K250" s="49" t="inlineStr">
        <is>
          <t>Kids Boys Shirt in White with Relaxed Fit &amp; Short Sleeve for Smart Comfort Casual Styling</t>
        </is>
      </c>
      <c r="L250" s="49" t="inlineStr">
        <is>
          <t>Purple United Kids Boys Shirt in White with Relaxed Fit &amp; Short Sleeve Comfort</t>
        </is>
      </c>
      <c r="M250" s="51" t="inlineStr">
        <is>
          <t>* LIGHTWEIGHT PREMIUM COMFORT: Kids Boys Shirt crafted in lightweight breathable fabric for soft comfort and easy all-day wear. Smooth texture keeps kids comfortable during outings, travel, and everyday activities while offering a polished premium appearance.
* SMART CASUAL RELAXED FIT: Designed with a relaxed fit, structured collar, button-down front, and short sleeves for modern smart-casual styling. Comfortable silhouette allows easy movement while maintaining a refined fashionable look for boys.
* PREMIUM FABRIC &amp; STRONG STITCHING: Made using durable premium-quality fabric with neat stitching and long-lasting construction for repeated everyday wear. Designed to maintain softness, structure, print quality, and overall finish after multiple washes.
* SPORTY RACING GRAPHIC STYLE: Stylish boys shirt featuring bold racing car inspired chest graphic with contemporary typography detailing. Sporty statement design adds energetic street-fashion appeal to modern everyday kids styling.
* EASY DAILY MAINTENANCE: Machine wash cold with similar colours, avoid bleach, and dry in shade for best fabric care and durability. Package includes 1 Kids Boys Shirt designed for premium comfort and stylish everyday fashion.</t>
        </is>
      </c>
      <c r="N250" s="48" t="inlineStr">
        <is>
          <t>Purple United Kids presents a stylish Kids Boys Shirt designed for modern boys who love premium casual fashion with sporty graphic detailing. Featuring a bold racing car inspired chest print and smart button-down silhouette, this shirt combines contemporary design with everyday comfort. The clean colour and refined styling make it a versatile wardrobe essential for casual and semi-casual occasions.
Crafted using soft breathable cotton blend fabric, this boys shirt delivers lightweight comfort and smooth skin feel suitable for all-day wear. The design features a classic shirt collar, half sleeves, front button closure, relaxed regular fit, and premium graphic print detailing that adds a sporty fashion-forward touch. Durable stitching and quality construction help maintain shape, comfort, and print finish even after repeated washes.
Designed for active kids, this Kids Boys Shirt offers a balance of comfort, durability, and effortless styling. The breathable fabric supports airflow and keeps kids comfortable during outings, vacations, events, and daily activities. The relaxed silhouette allows unrestricted movement, while the premium racing-inspired graphic enhances the modern street-casual aesthetic.
Perfect for birthday parties, family outings, vacations, casual gatherings, weekend styling, school events, and festive occasions, this casual shirt pairs effortlessly with jeans, joggers, trousers, and sneakers for stylish everyday looks.
Gentle machine wash recommended with similar colours. Please refer to the size chart before purchase for the ideal fit. Package includes 1 Kids Boys Shirt featuring premium racing car graphic print, half sleeves, button-down styling, and breathable comfort for elevated kids fashion.</t>
        </is>
      </c>
    </row>
    <row r="251">
      <c r="A251" s="42" t="n"/>
      <c r="B251" s="34" t="inlineStr">
        <is>
          <t>PUCPPA003203</t>
        </is>
      </c>
      <c r="C251" s="34" t="inlineStr">
        <is>
          <t>APPAREL</t>
        </is>
      </c>
      <c r="D251" s="34" t="inlineStr">
        <is>
          <t>CAP</t>
        </is>
      </c>
      <c r="E251" s="34" t="inlineStr">
        <is>
          <t>KIDS-UNISEX</t>
        </is>
      </c>
      <c r="F251" s="34" t="inlineStr">
        <is>
          <t>BLUE</t>
        </is>
      </c>
      <c r="G251" s="34" t="inlineStr">
        <is>
          <t>PUCPPA003203-BLUE</t>
        </is>
      </c>
      <c r="H251" s="49" t="inlineStr">
        <is>
          <t>Purple United Kids Unisex Cap | Sport Inspired | Breathable Comfort | Secure Adjustable Closure | Blue | Everyday Fashion Accessory | Outdoor Ready Styling Cap for Kids</t>
        </is>
      </c>
      <c r="I251" s="48" t="inlineStr">
        <is>
          <t>Kids Unisex Blue Varsity Cap</t>
        </is>
      </c>
      <c r="J251" s="35" t="inlineStr">
        <is>
          <t>Purple United Kids Unisex Blue Adjustable Breathable Design Curved Sun Shield Visor Cap</t>
        </is>
      </c>
      <c r="K251" s="49" t="inlineStr">
        <is>
          <t xml:space="preserve">Kids Unisex Cap in Blue with Adjustable Fit, Breathable Design &amp; Curved Sun Shield Visor </t>
        </is>
      </c>
      <c r="L251" s="35" t="inlineStr">
        <is>
          <t>Purple United Kids Unisex Cap in Blue with Adjustable Breathable Design &amp; Curved Visor</t>
        </is>
      </c>
      <c r="M251" s="51" t="inlineStr">
        <is>
          <t>* COMFORT &amp; SUN COVERAGE: Designed for everyday adventures, this Kids Cap features a structured crown, breathable construction, and a curved visor that provides comfortable sun protection while keeping kids stylish during outdoor activities.
* ADJUSTABLE UNISEX FIT: Designed for boys and girls, the adjustable back closure allows a secure and personalized fit. The versatile design comfortably adapts to growing kids, making it suitable for everyday wear.
* PREMIUM CONSTRUCTION: Crafted from durable fabric with reinforced panel construction and quality stitching for enhanced shape retention, long-lasting wear, and reliable performance through active play and daily use.
* TIMELESS SPORTY LOOK: Featuring a classic baseball-inspired silhouette in a versatile beige shade, this Kids Cap pairs effortlessly with casual outfits, travel looks, sportswear, and everyday essentials.
* CARE &amp; PACKAGE CONTENTS: Easy to maintain with gentle hand wash care. Package contains 1 Kids Cap with an adjustable closure, thoughtfully designed to deliver comfort, durability, and everyday functionality.</t>
        </is>
      </c>
      <c r="N251" s="48" t="inlineStr">
        <is>
          <t>Purple United Kids presents this stylish Kids Cap, thoughtfully designed for boys and girls who love comfort, functionality, and modern everyday fashion. Combining a classic sporty silhouette with practical features, this cap is a versatile accessory that complements active lifestyles while adding a polished finishing touch to casual outfits.
Crafted from durable lightweight fabric, this Kids Cap features a structured crown that helps maintain its shape throughout regular wear. The curved visor provides comfortable sun coverage, while breathable eyelets promote airflow for enhanced comfort during outdoor activities. Designed with an adjustable back closure, it offers a secure and personalized fit for growing kids. The multi-panel construction and reinforced stitching contribute to its premium finish, durability, and long-lasting performance.
Designed for everyday comfort, this cap for kids combines lightweight wearability with reliable functionality. The breathable construction helps keep kids comfortable during playtime and outdoor adventures, while the adjustable fit ensures a secure feel throughout the day. Its structured silhouette delivers a neat appearance, making it suitable as a baseball cap, sports cap, or summer cap. The versatile design easily pairs with casual wear, sportswear, and travel outfits.
Perfect for school activities, park visits, sports sessions, vacations, family outings, birthday celebrations, travel, and everyday wear. This kids cap is designed to complement a variety of outfits, making it a practical accessory for both outdoor adventures and daily styling.
Complete your child's wardrobe with this premium Kids Cap from Purple United Kids. Please refer to the product specifications for the best fit experience. Hand wash gently when needed and avoid harsh detergents to maintain shape and fabric quality. Package Includes: 1 Kids Cap.</t>
        </is>
      </c>
    </row>
    <row r="252">
      <c r="A252" s="42" t="n"/>
      <c r="B252" s="34" t="inlineStr">
        <is>
          <t>PUCPPA003203</t>
        </is>
      </c>
      <c r="C252" s="34" t="inlineStr">
        <is>
          <t>APPAREL</t>
        </is>
      </c>
      <c r="D252" s="34" t="inlineStr">
        <is>
          <t>CAP</t>
        </is>
      </c>
      <c r="E252" s="34" t="inlineStr">
        <is>
          <t>KIDS-UNISEX</t>
        </is>
      </c>
      <c r="F252" s="34" t="inlineStr">
        <is>
          <t>LT. BEIGE</t>
        </is>
      </c>
      <c r="G252" s="34" t="inlineStr">
        <is>
          <t>PUCPPA003203-LT. BEIGE</t>
        </is>
      </c>
      <c r="H252" s="49" t="inlineStr">
        <is>
          <t>Purple United Kids Unisex Cap | Sport Inspired | Breathable Comfort | Secure Adjustable Closure | Light Beige | Everyday Fashion Accessory | Outdoor Ready Styling Cap for Kids</t>
        </is>
      </c>
      <c r="I252" s="48" t="inlineStr">
        <is>
          <t>Kids Unisex Beige Varsity Cap</t>
        </is>
      </c>
      <c r="J252" s="49" t="inlineStr">
        <is>
          <t>Purple United Kids Unisex Light Beige Adjustable Breathable Design Sun Shield Visor Cap</t>
        </is>
      </c>
      <c r="K252" s="49" t="inlineStr">
        <is>
          <t>Kids Unisex Cap in Light Beige with Adjustable Fit, Breathable Design &amp; Sun Shield Visor</t>
        </is>
      </c>
      <c r="L252" s="49" t="inlineStr">
        <is>
          <t>Purple United Kids Unisex Cap in Light Beige with Breathable Design &amp; Curved Visor</t>
        </is>
      </c>
      <c r="M252" s="51" t="inlineStr">
        <is>
          <t>* COMFORT &amp; SUN COVERAGE: Designed for everyday adventures, this Kids Cap features a structured crown, breathable construction, and a curved visor that provides comfortable sun protection while keeping kids stylish during outdoor activities.
* ADJUSTABLE UNISEX FIT: Designed for boys and girls, the adjustable back closure allows a secure and personalized fit. The versatile design comfortably adapts to growing kids, making it suitable for everyday wear.
* PREMIUM CONSTRUCTION: Crafted from durable fabric with reinforced panel construction and quality stitching for enhanced shape retention, long-lasting wear, and reliable performance through active play and daily use.
* TIMELESS SPORTY LOOK: Featuring a classic baseball-inspired silhouette in a versatile beige shade, this Kids Cap pairs effortlessly with casual outfits, travel looks, sportswear, and everyday essentials.
* CARE &amp; PACKAGE CONTENTS: Easy to maintain with gentle hand wash care. Package contains 1 Kids Cap with an adjustable closure, thoughtfully designed to deliver comfort, durability, and everyday functionality.</t>
        </is>
      </c>
      <c r="N252" s="48" t="inlineStr">
        <is>
          <t>Purple United Kids presents this stylish Kids Cap, thoughtfully designed for boys and girls who love comfort, functionality, and modern everyday fashion. Combining a classic sporty silhouette with practical features, this cap is a versatile accessory that complements active lifestyles while adding a polished finishing touch to casual outfits.
Crafted from durable lightweight fabric, this Kids Cap features a structured crown that helps maintain its shape throughout regular wear. The curved visor provides comfortable sun coverage, while breathable eyelets promote airflow for enhanced comfort during outdoor activities. Designed with an adjustable back closure, it offers a secure and personalized fit for growing kids. The multi-panel construction and reinforced stitching contribute to its premium finish, durability, and long-lasting performance.
Designed for everyday comfort, this cap for kids combines lightweight wearability with reliable functionality. The breathable construction helps keep kids comfortable during playtime and outdoor adventures, while the adjustable fit ensures a secure feel throughout the day. Its structured silhouette delivers a neat appearance, making it suitable as a baseball cap, sports cap, or summer cap. The versatile design easily pairs with casual wear, sportswear, and travel outfits.
Perfect for school activities, park visits, sports sessions, vacations, family outings, birthday celebrations, travel, and everyday wear. This kids cap is designed to complement a variety of outfits, making it a practical accessory for both outdoor adventures and daily styling.
Complete your child's wardrobe with this premium Kids Cap from Purple United Kids. Please refer to the product specifications for the best fit experience. Hand wash gently when needed and avoid harsh detergents to maintain shape and fabric quality. Package Includes: 1 Kids Cap.</t>
        </is>
      </c>
    </row>
    <row r="253">
      <c r="A253" s="42" t="n"/>
      <c r="B253" s="34" t="inlineStr">
        <is>
          <t>PUCPPA003203</t>
        </is>
      </c>
      <c r="C253" s="34" t="inlineStr">
        <is>
          <t>APPAREL</t>
        </is>
      </c>
      <c r="D253" s="34" t="inlineStr">
        <is>
          <t>CAP</t>
        </is>
      </c>
      <c r="E253" s="34" t="inlineStr">
        <is>
          <t>KIDS-UNISEX</t>
        </is>
      </c>
      <c r="F253" s="34" t="inlineStr">
        <is>
          <t>NAVY BLUE</t>
        </is>
      </c>
      <c r="G253" s="34" t="inlineStr">
        <is>
          <t>PUCPPA003203-NAVY BLUE</t>
        </is>
      </c>
      <c r="H253" s="49" t="inlineStr">
        <is>
          <t>Purple United Kids Unisex Cap | Sport Inspired | Breathable Comfort | Secure Adjustable Closure | Navy Blue | Everyday Fashion Accessory | Outdoor Ready Styling Cap for Kids</t>
        </is>
      </c>
      <c r="I253" s="48" t="inlineStr">
        <is>
          <t>Kids Unisex Varsity Cap</t>
        </is>
      </c>
      <c r="J253" s="49" t="inlineStr">
        <is>
          <t>Purple United Kids Unisex Navy Blue Adjustable Breathable Design Sun Shield Visor Cap</t>
        </is>
      </c>
      <c r="K253" s="49" t="inlineStr">
        <is>
          <t>Kids Unisex Cap in Navy Blue with Adjustable Fit, Breathable Design &amp; Sun Shield Visor</t>
        </is>
      </c>
      <c r="L253" s="49" t="inlineStr">
        <is>
          <t>Purple United Kids Unisex Cap in Navy Blue with Breathable Design &amp; Curved Visor</t>
        </is>
      </c>
      <c r="M253" s="51" t="inlineStr">
        <is>
          <t>* COMFORT &amp; SUN COVERAGE: Designed for everyday adventures, this Kids Cap features a structured crown, breathable construction, and a curved visor that provides comfortable sun protection while keeping kids stylish during outdoor activities.
* ADJUSTABLE UNISEX FIT: Designed for boys and girls, the adjustable back closure allows a secure and personalized fit. The versatile design comfortably adapts to growing kids, making it suitable for everyday wear.
* PREMIUM CONSTRUCTION: Crafted from durable fabric with reinforced panel construction and quality stitching for enhanced shape retention, long-lasting wear, and reliable performance through active play and daily use.
* TIMELESS SPORTY LOOK: Featuring a classic baseball-inspired silhouette in a versatile beige shade, this Kids Cap pairs effortlessly with casual outfits, travel looks, sportswear, and everyday essentials.
* CARE &amp; PACKAGE CONTENTS: Easy to maintain with gentle hand wash care. Package contains 1 Kids Cap with an adjustable closure, thoughtfully designed to deliver comfort, durability, and everyday functionality.</t>
        </is>
      </c>
      <c r="N253" s="48" t="inlineStr">
        <is>
          <t>Purple United Kids presents this stylish Kids Cap, thoughtfully designed for boys and girls who love comfort, functionality, and modern everyday fashion. Combining a classic sporty silhouette with practical features, this cap is a versatile accessory that complements active lifestyles while adding a polished finishing touch to casual outfits.
Crafted from durable lightweight fabric, this Kids Cap features a structured crown that helps maintain its shape throughout regular wear. The curved visor provides comfortable sun coverage, while breathable eyelets promote airflow for enhanced comfort during outdoor activities. Designed with an adjustable back closure, it offers a secure and personalized fit for growing kids. The multi-panel construction and reinforced stitching contribute to its premium finish, durability, and long-lasting performance.
Designed for everyday comfort, this cap for kids combines lightweight wearability with reliable functionality. The breathable construction helps keep kids comfortable during playtime and outdoor adventures, while the adjustable fit ensures a secure feel throughout the day. Its structured silhouette delivers a neat appearance, making it suitable as a baseball cap, sports cap, or summer cap. The versatile design easily pairs with casual wear, sportswear, and travel outfits.
Perfect for school activities, park visits, sports sessions, vacations, family outings, birthday celebrations, travel, and everyday wear. This kids cap is designed to complement a variety of outfits, making it a practical accessory for both outdoor adventures and daily styling.
Complete your child's wardrobe with this premium Kids Cap from Purple United Kids. Please refer to the product specifications for the best fit experience. Hand wash gently when needed and avoid harsh detergents to maintain shape and fabric quality. Package Includes: 1 Kids Cap.</t>
        </is>
      </c>
    </row>
    <row r="254">
      <c r="A254" s="42" t="n"/>
      <c r="B254" s="34" t="inlineStr">
        <is>
          <t>PUCPPA003204</t>
        </is>
      </c>
      <c r="C254" s="34" t="inlineStr">
        <is>
          <t>APPAREL</t>
        </is>
      </c>
      <c r="D254" s="34" t="inlineStr">
        <is>
          <t>CAP</t>
        </is>
      </c>
      <c r="E254" s="34" t="inlineStr">
        <is>
          <t>KIDS-UNISEX</t>
        </is>
      </c>
      <c r="F254" s="34" t="inlineStr">
        <is>
          <t>LAVENDER</t>
        </is>
      </c>
      <c r="G254" s="34" t="inlineStr">
        <is>
          <t>PUCPPA003204-LAVENDER</t>
        </is>
      </c>
      <c r="H254" s="49" t="inlineStr">
        <is>
          <t>Purple United Kids Unisex Cap | Classic Baseball Style | Breathable Eyelets | Structured Crown | Curved Visor | Lavender | Everyday Outdoor Comfort Cap for Kids</t>
        </is>
      </c>
      <c r="I254" s="48" t="inlineStr">
        <is>
          <t>Kids Lavender Casual Cap</t>
        </is>
      </c>
      <c r="J254" s="49" t="inlineStr">
        <is>
          <t>Purple United Kids Unisex Lavender Durable Stitching Curved Visor Daily Comfort Wear Cap</t>
        </is>
      </c>
      <c r="K254" s="49" t="inlineStr">
        <is>
          <t>Kids Unisex Cap in Lavender with Durable Stitching, Curved Visor &amp; Everyday Wear Appeal</t>
        </is>
      </c>
      <c r="L254" s="49" t="inlineStr">
        <is>
          <t>Purple United Kids Unisex Cap in Lavender with Durable Stitching &amp; Curved Visor</t>
        </is>
      </c>
      <c r="M254" s="51" t="inlineStr">
        <is>
          <t>* PREMIUM COMFORT &amp; BREATHABILITY: Crafted from soft cotton-rich fabric, this Kids Cap features breathable embroidered eyelets and a lightweight feel to keep kids comfortable during outdoor play, travel, sports activities, and everyday wear.
* SECURE &amp; COMFORTABLE FIT: Designed for boys and girls, the cap comes with an adjustable back closure and structured six-panel construction, offering a secure fit and comfortable wear for growing kids across multiple age groups.
* DURABLE EVERYDAY CONSTRUCTION: Made with premium-quality fabric, reinforced stitching, and a sturdy curved visor, this cap is built to maintain its shape and withstand regular use while delivering long-lasting performance.
* CLASSIC BASEBALL-INSPIRED STYLE: Featuring a soothing shade, textured chenille patch detailing, and a timeless baseball silhouette, this cap adds a stylish finishing touch to casual outfits, vacations, park visits, and weekend adventures.
* EASY CARE &amp; PACKAGE CONTENT: Gently hand wash to maintain colour and shape. Package includes 1 Kids Cap with breathable construction, curved visor, and adjustable closure for everyday comfort, style, and sun-ready protection.</t>
        </is>
      </c>
      <c r="N254" s="48" t="inlineStr">
        <is>
          <t>Bring effortless style and everyday comfort to your child's wardrobe with this premium Kids Cap from Purple United Kids. Designed for boys and girls who love to stay active, this baseball cap combines modern styling with practical functionality. Its versatile design makes it an ideal companion for outdoor adventures, vacations, playground fun, and everyday casual wear.
Crafted from high-quality cotton-rich fabric, this cap offers a soft hand feel while ensuring durability for daily use. The structured six-panel construction helps maintain shape, while the curved visor provides shade and protection from direct sunlight. Breathable embroidered eyelets enhance airflow, helping keep kids comfortable during extended wear. The adjustable back closure ensures a secure fit that adapts comfortably to different head sizes.
Built for active lifestyles, this Kids Cap delivers the perfect balance of comfort, durability, and style. The lightweight construction minimizes pressure on the head, while reinforced stitching enhances longevity. Its breathable design helps maintain comfort during outdoor play, making it suitable for all-day wear across seasons.
Perfect for family outings, holidays, picnics, sports activities, travel, park visits, and everyday casual styling, this baseball cap adds a fashionable finishing touch to any outfit. The elegant colour brings a fresh and contemporary look that works beautifully with a variety of casual ensembles.
For best results, gently hand wash and dry naturally. Please refer to the size guide before purchase for the ideal fit. Package includes 1 Kids Cap. Whether for daily wear or weekend adventures, this stylish cap offers the comfort, protection, and versatility every young explorer needs.</t>
        </is>
      </c>
    </row>
    <row r="255">
      <c r="A255" s="42" t="n"/>
      <c r="B255" s="34" t="inlineStr">
        <is>
          <t>PUCPPA003204</t>
        </is>
      </c>
      <c r="C255" s="34" t="inlineStr">
        <is>
          <t>APPAREL</t>
        </is>
      </c>
      <c r="D255" s="34" t="inlineStr">
        <is>
          <t>CAP</t>
        </is>
      </c>
      <c r="E255" s="34" t="inlineStr">
        <is>
          <t>KIDS-UNISEX</t>
        </is>
      </c>
      <c r="F255" s="34" t="inlineStr">
        <is>
          <t>RED</t>
        </is>
      </c>
      <c r="G255" s="34" t="inlineStr">
        <is>
          <t>PUCPPA003204-RED</t>
        </is>
      </c>
      <c r="H255" s="49" t="inlineStr">
        <is>
          <t>Purple United Kids Unisex Cap | Classic Baseball Style | Breathable Eyelets | Structured Crown | Curved Visor | Red | Everyday Outdoor Comfort Cap for Kids</t>
        </is>
      </c>
      <c r="I255" s="48" t="inlineStr">
        <is>
          <t>Kids Unisex Red Casual Cap</t>
        </is>
      </c>
      <c r="J255" s="49" t="inlineStr">
        <is>
          <t>Purple United Kids Unisex Red Durable Stitching Curved Visor Daily Comfort Wear Cap</t>
        </is>
      </c>
      <c r="K255" s="49" t="inlineStr">
        <is>
          <t>Kids Unisex Cap in Red with Durable Stitching, Curved Visor &amp; Everyday Wear Appeal</t>
        </is>
      </c>
      <c r="L255" s="49" t="inlineStr">
        <is>
          <t>Purple United Kids Unisex Cap in Red with Durable Stitching &amp; Curved Visor</t>
        </is>
      </c>
      <c r="M255" s="51" t="inlineStr">
        <is>
          <t>* PREMIUM COMFORT &amp; BREATHABILITY: Crafted from soft cotton-rich fabric, this Kids Cap features breathable embroidered eyelets and a lightweight feel to keep kids comfortable during outdoor play, travel, sports activities, and everyday wear.
* SECURE &amp; COMFORTABLE FIT: Designed for boys and girls, the cap comes with an adjustable back closure and structured six-panel construction, offering a secure fit and comfortable wear for growing kids across multiple age groups.
* DURABLE EVERYDAY CONSTRUCTION: Made with premium-quality fabric, reinforced stitching, and a sturdy curved visor, this cap is built to maintain its shape and withstand regular use while delivering long-lasting performance.
* CLASSIC BASEBALL-INSPIRED STYLE: Featuring a soothing shade, textured chenille patch detailing, and a timeless baseball silhouette, this cap adds a stylish finishing touch to casual outfits, vacations, park visits, and weekend adventures.
* EASY CARE &amp; PACKAGE CONTENT: Gently hand wash to maintain colour and shape. Package includes 1 Kids Cap with breathable construction, curved visor, and adjustable closure for everyday comfort, style, and sun-ready protection.</t>
        </is>
      </c>
      <c r="N255" s="48" t="inlineStr">
        <is>
          <t>Bring effortless style and everyday comfort to your child's wardrobe with this premium Kids Cap from Purple United Kids. Designed for boys and girls who love to stay active, this baseball cap combines modern styling with practical functionality. Its versatile design makes it an ideal companion for outdoor adventures, vacations, playground fun, and everyday casual wear.
Crafted from high-quality cotton-rich fabric, this cap offers a soft hand feel while ensuring durability for daily use. The structured six-panel construction helps maintain shape, while the curved visor provides shade and protection from direct sunlight. Breathable embroidered eyelets enhance airflow, helping keep kids comfortable during extended wear. The adjustable back closure ensures a secure fit that adapts comfortably to different head sizes.
Built for active lifestyles, this Kids Cap delivers the perfect balance of comfort, durability, and style. The lightweight construction minimizes pressure on the head, while reinforced stitching enhances longevity. Its breathable design helps maintain comfort during outdoor play, making it suitable for all-day wear across seasons.
Perfect for family outings, holidays, picnics, sports activities, travel, park visits, and everyday casual styling, this baseball cap adds a fashionable finishing touch to any outfit. The elegant colour brings a fresh and contemporary look that works beautifully with a variety of casual ensembles.
For best results, gently hand wash and dry naturally. Please refer to the size guide before purchase for the ideal fit. Package includes 1 Kids Cap. Whether for daily wear or weekend adventures, this stylish cap offers the comfort, protection, and versatility every young explorer needs.</t>
        </is>
      </c>
    </row>
    <row r="256">
      <c r="A256" s="42" t="n"/>
      <c r="B256" s="34" t="inlineStr">
        <is>
          <t>PUCPPA003204</t>
        </is>
      </c>
      <c r="C256" s="34" t="inlineStr">
        <is>
          <t>APPAREL</t>
        </is>
      </c>
      <c r="D256" s="34" t="inlineStr">
        <is>
          <t>CAP</t>
        </is>
      </c>
      <c r="E256" s="34" t="inlineStr">
        <is>
          <t>KIDS-UNISEX</t>
        </is>
      </c>
      <c r="F256" s="34" t="inlineStr">
        <is>
          <t>DK. GREEN</t>
        </is>
      </c>
      <c r="G256" s="34" t="inlineStr">
        <is>
          <t>PUCPPA003204-DK. GREEN</t>
        </is>
      </c>
      <c r="H256" s="49" t="inlineStr">
        <is>
          <t>Purple United Kids Unisex Cap | Classic Baseball Style | Breathable Eyelets | Structured Crown | Curved Visor | Dark Green | Everyday Outdoor Comfort Cap for Kids</t>
        </is>
      </c>
      <c r="I256" s="48" t="inlineStr">
        <is>
          <t>Kids Unisex Dark Green Cap</t>
        </is>
      </c>
      <c r="J256" s="49" t="inlineStr">
        <is>
          <t>Purple United Kids Unisex Dark Green Durable Stitching Curved Visor Daily Comfort Wear Cap</t>
        </is>
      </c>
      <c r="K256" s="49" t="inlineStr">
        <is>
          <t>Kids Unisex Cap in Dark Green with Durable Stitching, Curved Visor &amp; Everyday Wear Appeal</t>
        </is>
      </c>
      <c r="L256" s="49" t="inlineStr">
        <is>
          <t>Purple United Kids Unisex Cap in Dark Green with Durable Stitching &amp; Curved Visor</t>
        </is>
      </c>
      <c r="M256" s="51" t="inlineStr">
        <is>
          <t>* PREMIUM COMFORT &amp; BREATHABILITY: Crafted from soft cotton-rich fabric, this Kids Cap features breathable embroidered eyelets and a lightweight feel to keep kids comfortable during outdoor play, travel, sports activities, and everyday wear.
* SECURE &amp; COMFORTABLE FIT: Designed for boys and girls, the cap comes with an adjustable back closure and structured six-panel construction, offering a secure fit and comfortable wear for growing kids across multiple age groups.
* DURABLE EVERYDAY CONSTRUCTION: Made with premium-quality fabric, reinforced stitching, and a sturdy curved visor, this cap is built to maintain its shape and withstand regular use while delivering long-lasting performance.
* CLASSIC BASEBALL-INSPIRED STYLE: Featuring a soothing shade, textured chenille patch detailing, and a timeless baseball silhouette, this cap adds a stylish finishing touch to casual outfits, vacations, park visits, and weekend adventures.
* EASY CARE &amp; PACKAGE CONTENT: Gently hand wash to maintain colour and shape. Package includes 1 Kids Cap with breathable construction, curved visor, and adjustable closure for everyday comfort, style, and sun-ready protection.</t>
        </is>
      </c>
      <c r="N256" s="48" t="inlineStr">
        <is>
          <t>Bring effortless style and everyday comfort to your child's wardrobe with this premium Kids Cap from Purple United Kids. Designed for boys and girls who love to stay active, this baseball cap combines modern styling with practical functionality. Its versatile design makes it an ideal companion for outdoor adventures, vacations, playground fun, and everyday casual wear.
Crafted from high-quality cotton-rich fabric, this cap offers a soft hand feel while ensuring durability for daily use. The structured six-panel construction helps maintain shape, while the curved visor provides shade and protection from direct sunlight. Breathable embroidered eyelets enhance airflow, helping keep kids comfortable during extended wear. The adjustable back closure ensures a secure fit that adapts comfortably to different head sizes.
Built for active lifestyles, this Kids Cap delivers the perfect balance of comfort, durability, and style. The lightweight construction minimizes pressure on the head, while reinforced stitching enhances longevity. Its breathable design helps maintain comfort during outdoor play, making it suitable for all-day wear across seasons.
Perfect for family outings, holidays, picnics, sports activities, travel, park visits, and everyday casual styling, this baseball cap adds a fashionable finishing touch to any outfit. The elegant colour brings a fresh and contemporary look that works beautifully with a variety of casual ensembles.
For best results, gently hand wash and dry naturally. Please refer to the size guide before purchase for the ideal fit. Package includes 1 Kids Cap. Whether for daily wear or weekend adventures, this stylish cap offers the comfort, protection, and versatility every young explorer needs.</t>
        </is>
      </c>
    </row>
    <row r="257">
      <c r="A257" s="42" t="n"/>
      <c r="B257" s="34" t="inlineStr">
        <is>
          <t>TBCABS003186</t>
        </is>
      </c>
      <c r="C257" s="34" t="inlineStr">
        <is>
          <t>FOOTWEAR</t>
        </is>
      </c>
      <c r="D257" s="34" t="inlineStr">
        <is>
          <t>CASUAL SHOES</t>
        </is>
      </c>
      <c r="E257" s="34" t="inlineStr">
        <is>
          <t>BOYS</t>
        </is>
      </c>
      <c r="F257" s="34" t="inlineStr">
        <is>
          <t>SKY BLUE</t>
        </is>
      </c>
      <c r="G257" s="34" t="inlineStr">
        <is>
          <t>TBCABS003186-SKY BLUE</t>
        </is>
      </c>
      <c r="H257" s="49" t="inlineStr">
        <is>
          <t>Purple United Kids Boys Casual Shoes | Lightweight Knit Upper | Breathable Comfort | Slip-On Design | Flexible Cushioned Sole | Sky Blue | Everyday Active Wear Shoes for Baby Boy</t>
        </is>
      </c>
      <c r="I257" s="35" t="inlineStr">
        <is>
          <t>Boys SkyBlue Knit Casual Shoes</t>
        </is>
      </c>
      <c r="J257" s="48" t="inlineStr">
        <is>
          <t>Purple United Kids Boys Sky Blue Knit Airy Upper Slip-On Fit Flexible Sole Casual Shoes</t>
        </is>
      </c>
      <c r="K257" s="49" t="inlineStr">
        <is>
          <t>Kids Boys Casual Shoes in Sky Blue with Knit Breathable Upper, Slip-On Fit &amp; Flexible Sole</t>
        </is>
      </c>
      <c r="L257" s="49" t="inlineStr">
        <is>
          <t>Purple United Kids Boys Casual Shoes in Sky Blue with Knit Airy Upper &amp; Slip-On Fit</t>
        </is>
      </c>
      <c r="M257" s="51" t="inlineStr">
        <is>
          <t>* LIGHTWEIGHT KNIT COMFORT: Crafted with a breathable stretch-knit upper, these Kids Boys Casual Shoes provide lightweight comfort, flexibility, and enhanced airflow to keep little feet comfortable throughout the day.
* EASY SLIP-ON FIT: Designed for growing boys, these casual shoes feature a sock-like slip-on construction with pull tabs for easy wear, ensuring a secure and comfortable fit for active everyday movement.
* DURABLE &amp; FLEXIBLE BUILD: Built with a resilient knitted upper and flexible lightweight outsole, these shoes offer reliable durability, natural foot movement, and long-lasting comfort for daily adventures.
* SPORTY EVERYDAY DESIGN: Featuring a modern colourway, engineered knit detailing, and a contemporary sneaker silhouette, these shoes effortlessly complement casual outfits, travel looks, and playtime wear.
* EASY CARE &amp; PACKAGE CONTENT: Easy to maintain with gentle cleaning using a soft cloth. Package includes 1 Pair of Kids Boys Casual Shoes designed for comfort, flexibility, and everyday versatility.</t>
        </is>
      </c>
      <c r="N257" s="48" t="inlineStr">
        <is>
          <t>Give every step a blend of comfort and style with these premium Kids Boys Casual Shoes from Purple United Kids. Designed for active boys who love movement and adventure, these lightweight casual sneakers combine modern design with all-day comfort. The sporty colour and contemporary knit construction make them a versatile addition to any young wardrobe.
The shoes feature a breathable stretch-knit upper that promotes airflow while adapting comfortably to foot movement. The slip-on design allows quick and hassle-free wear, while convenient pull tabs help kids put on and remove the shoes with ease. A lightweight flexible outsole supports natural movement and provides enhanced comfort during everyday activities.
Built for growing feet, these casual sneakers offer a sock-like fit that feels soft and secure throughout the day. The durable construction helps maintain shape and performance through regular wear, while the flexible sole absorbs daily impact for improved walking comfort. Whether indoors or outdoors, these shoes are designed to keep up with active lifestyles.
Perfect for casual outings, travel, playground activities, family gatherings, weekend adventures, and everyday wear, these Kids Boys Casual Shoes pair effortlessly with jeans, joggers, shorts, and casual clothing. Their versatile styling makes them suitable for multiple occasions and seasons.
For best results, gently clean with a soft cloth and allow to air dry naturally. Please refer to the size guide before purchase for the ideal fit. Package includes 1 Pair of Kids Boys Casual Shoes, thoughtfully designed to deliver comfort, flexibility, and effortless everyday style.</t>
        </is>
      </c>
    </row>
    <row r="258">
      <c r="A258" s="42" t="n"/>
      <c r="B258" s="34" t="inlineStr">
        <is>
          <t>TBCABS003184</t>
        </is>
      </c>
      <c r="C258" s="34" t="inlineStr">
        <is>
          <t>FOOTWEAR</t>
        </is>
      </c>
      <c r="D258" s="34" t="inlineStr">
        <is>
          <t>CASUAL SHOES</t>
        </is>
      </c>
      <c r="E258" s="34" t="inlineStr">
        <is>
          <t>BOYS</t>
        </is>
      </c>
      <c r="F258" s="34" t="inlineStr">
        <is>
          <t>BLACK</t>
        </is>
      </c>
      <c r="G258" s="34" t="inlineStr">
        <is>
          <t>TBCABS003184-BLACK</t>
        </is>
      </c>
      <c r="H258" s="49" t="inlineStr">
        <is>
          <t>Purple United Kids Boys Casual Shoes | Breathable Knit Construction | Lightweight Comfort | Slip-On Fit | Flexible Outsole | Black | Everyday Active Wear Shoes for Baby Boy</t>
        </is>
      </c>
      <c r="I258" s="48" t="inlineStr">
        <is>
          <t>Boys Black Knit Slip-On Shoes</t>
        </is>
      </c>
      <c r="J258" s="49" t="inlineStr">
        <is>
          <t>Purple United Kids Boys Black Breathable Knit Comfort Effortless Slip-On Wear Casual Shoes</t>
        </is>
      </c>
      <c r="K258" s="49" t="inlineStr">
        <is>
          <t>Kids Boys Casual Shoes in Black with Breathable Knit Comfort &amp; Effortless Slip-On Wear</t>
        </is>
      </c>
      <c r="L258" s="49" t="inlineStr">
        <is>
          <t>Purple United Kids Boys Casual Shoes in Black with Knit Comfort &amp; Slip-On Wear</t>
        </is>
      </c>
      <c r="M258" s="51" t="inlineStr">
        <is>
          <t>* BREATHABLE KNIT COMFORT: Designed with a soft stretch-knit upper, these Kids Boys Casual Shoes offer lightweight comfort, enhanced breathability, and a sock-like feel that keeps feet comfortable during all-day wear.
* EASY SLIP-ON FIT: Featuring a convenient slip-on design with pull tabs, these shoes ensure quick wearability and a secure fit, making them ideal for active boys and everyday adventures.
* FLEXIBLE &amp; DURABLE BUILD: Crafted with a durable knitted upper and a lightweight flexible outsole, these shoes support natural movement while providing long-lasting comfort for daily activities.
* MODERN EVERYDAY STYLE: The versatile black colour, streamlined silhouette, and contemporary knit texture create a sporty look that pairs effortlessly with casual outfits, travel wear, and weekend styling.
* EASY CARE &amp; PACKAGE CONTENT: Simply wipe clean with a soft cloth to maintain appearance. Package includes 1 Pair of Kids Boys Casual Shoes designed for comfort, flexibility, and everyday versatility.</t>
        </is>
      </c>
      <c r="N258" s="48" t="inlineStr">
        <is>
          <t>Keep every step light, comfortable, and stylish with these premium Kids Boys Casual Shoes from Purple United Kids. Thoughtfully designed for active young boys, these casual sneakers combine modern aesthetics with practical comfort. The sleek black colour and contemporary knit construction make them a versatile footwear choice for everyday adventures.
Featuring a breathable stretch-knit upper, these shoes provide excellent airflow while adapting naturally to foot movement. The slip-on construction eliminates the hassle of laces, allowing kids to wear and remove them with ease. Convenient pull tabs enhance functionality, while the soft sock-like fit delivers superior comfort throughout the day.
Built to support active lifestyles, these casual shoes feature a lightweight and flexible outsole that promotes natural movement and helps reduce foot fatigue. The durable construction is designed to withstand regular wear while maintaining shape and comfort. Whether walking, playing, or travelling, these shoes offer dependable performance and all-day ease.
Perfect for casual outings, playground fun, vacations, family gatherings, travel, and everyday wear, these Kids Boys Casual Shoes complement jeans, joggers, shorts, and casual outfits effortlessly. Their versatile design ensures they remain a wardrobe essential throughout the season.
For best results, gently wipe clean with a soft cloth and allow to air dry naturally. Please refer to the size guide before purchase for the ideal fit. Package includes 1 Pair of Kids Boys Casual Shoes, crafted to deliver flexibility, comfort, and modern everyday style for growing boys.</t>
        </is>
      </c>
    </row>
    <row r="259">
      <c r="A259" s="42" t="n"/>
      <c r="B259" s="34" t="inlineStr">
        <is>
          <t>TGCABS003187</t>
        </is>
      </c>
      <c r="C259" s="34" t="inlineStr">
        <is>
          <t>FOOTWEAR</t>
        </is>
      </c>
      <c r="D259" s="34" t="inlineStr">
        <is>
          <t>CASUAL SHOES</t>
        </is>
      </c>
      <c r="E259" s="34" t="inlineStr">
        <is>
          <t>GIRLS</t>
        </is>
      </c>
      <c r="F259" s="34" t="inlineStr">
        <is>
          <t>PEACH</t>
        </is>
      </c>
      <c r="G259" s="34" t="inlineStr">
        <is>
          <t>TGCABS003187-PEACH</t>
        </is>
      </c>
      <c r="H259" s="49" t="inlineStr">
        <is>
          <t>Purple United Kids Girls Casual Shoes | Lightweight Knit Upper | Breathable Comfort | Slip-On Design | Flexible Cushioned Sole | Peach | Everyday Active Wear Shoes for Baby Girl</t>
        </is>
      </c>
      <c r="I259" s="49" t="inlineStr">
        <is>
          <t>Girls Peach Knit Casual Shoes</t>
        </is>
      </c>
      <c r="J259" s="48" t="inlineStr">
        <is>
          <t>Purple United Kids Girls Peach Knit Airy Upper Slip-On Fit Flexible Sole Casual Shoes</t>
        </is>
      </c>
      <c r="K259" s="49" t="inlineStr">
        <is>
          <t>Kids Girls Casual Shoes in Peach with Knit Breathable Upper, Slip-On Fit &amp; Flexible Sole</t>
        </is>
      </c>
      <c r="L259" s="49" t="inlineStr">
        <is>
          <t>Purple United Kids Girls Casual Shoes in Peach with Knit Airy Upper &amp; Slip-On Fit</t>
        </is>
      </c>
      <c r="M259" s="51" t="inlineStr">
        <is>
          <t>* LIGHTWEIGHT KNIT COMFORT: Crafted with a breathable stretch-knit upper, these Kids Girls Casual Shoes provide lightweight comfort, flexibility, and enhanced airflow to keep little feet comfortable throughout the day.
* EASY SLIP-ON FIT: Designed for growing girls, these casual shoes feature a sock-like slip-on construction with pull tabs for easy wear, ensuring a secure and comfortable fit for active everyday movement.
* DURABLE &amp; FLEXIBLE BUILD: Built with a resilient knitted upper and flexible lightweight outsole, these shoes offer reliable durability, natural foot movement, and long-lasting comfort for daily adventures.
* SPORTY EVERYDAY DESIGN: Featuring a modern colourway, engineered knit detailing, and a contemporary sneaker silhouette, these shoes effortlessly complement casual outfits, travel looks, and playtime wear.
* EASY CARE &amp; PACKAGE CONTENT: Easy to maintain with gentle cleaning using a soft cloth. Package includes 1 Pair of Kids Girls Casual Shoes designed for comfort, flexibility, and everyday versatility.</t>
        </is>
      </c>
      <c r="N259" s="48" t="inlineStr">
        <is>
          <t>Give every step a blend of comfort and style with these premium Kids Girls Casual Shoes from Purple United Kids. Designed for active girls who love movement and adventure, these lightweight casual sneakers combine modern design with all-day comfort. The sporty colour and contemporary knit construction make them a versatile addition to any young wardrobe.
The shoes feature a breathable stretch-knit upper that promotes airflow while adapting comfortably to foot movement. The slip-on design allows quick and hassle-free wear, while convenient pull tabs help kids put on and remove the shoes with ease. A lightweight flexible outsole supports natural movement and provides enhanced comfort during everyday activities.
Built for growing feet, these casual sneakers offer a sock-like fit that feels soft and secure throughout the day. The durable construction helps maintain shape and performance through regular wear, while the flexible sole absorbs daily impact for improved walking comfort. Whether indoors or outdoors, these shoes are designed to keep up with active lifestyles.
Perfect for casual outings, travel, playground activities, family gatherings, weekend adventures, and everyday wear, these Kids Girls Casual Shoes pair effortlessly with jeans, joggers, shorts, and casual clothing. Their versatile styling makes them suitable for multiple occasions and seasons.
For best results, gently clean with a soft cloth and allow to air dry naturally. Please refer to the size guide before purchase for the ideal fit. Package includes 1 Pair of Kids Girls Casual Shoes, thoughtfully designed to deliver comfort, flexibility, and effortless everyday style.</t>
        </is>
      </c>
    </row>
    <row r="260">
      <c r="A260" s="42" t="n"/>
      <c r="B260" s="34" t="inlineStr">
        <is>
          <t>PBDNSS001233</t>
        </is>
      </c>
      <c r="C260" s="34" t="inlineStr">
        <is>
          <t>APPAREL</t>
        </is>
      </c>
      <c r="D260" s="34" t="inlineStr">
        <is>
          <t xml:space="preserve">SHIRT </t>
        </is>
      </c>
      <c r="E260" s="34" t="inlineStr">
        <is>
          <t>BOYS</t>
        </is>
      </c>
      <c r="F260" s="34" t="inlineStr">
        <is>
          <t>DK. BLUE</t>
        </is>
      </c>
      <c r="G260" s="34" t="inlineStr">
        <is>
          <t>PBDNSS001233-DK. BLUE</t>
        </is>
      </c>
      <c r="H260" s="49" t="inlineStr">
        <is>
          <t>Purple United Kids Boys Denim Shirt | Washed Denim | Full Sleeve Shirt | Classic Collar | Soft-Touch Fabric | Button-Down Front | Dark Blue | Smart Casual Styling Shirt for Boys</t>
        </is>
      </c>
      <c r="I260" s="35" t="inlineStr">
        <is>
          <t>Boys Washed Denim Casual Shirt</t>
        </is>
      </c>
      <c r="J260" s="49" t="inlineStr">
        <is>
          <t>Purple United Kids Boys Dark Blue Full Sleeves Classic Collar Comfort Fabric Denim Shirt</t>
        </is>
      </c>
      <c r="K260" s="49" t="inlineStr">
        <is>
          <t>Kids Boys Shirt in Dark Blue Washed Denim with Full Sleeves, Classic Collar &amp; Soft Fabric</t>
        </is>
      </c>
      <c r="L260" s="49" t="inlineStr">
        <is>
          <t>Purple United Kids Boys Shirt in Dark Blue Denim with Collar &amp; Soft Comfort Fabric</t>
        </is>
      </c>
      <c r="M260" s="51" t="inlineStr">
        <is>
          <t>* PREMIUM DENIM COMFORT: Crafted from soft-touch premium denim fabric, this Kids Boys Shirt offers a comfortable feel with a refined finish. The breathable construction ensures all-day ease while delivering elevated everyday style.
* COMFORTABLE FIT FOR GROWING BOYS: Designed in a regular fit silhouette with full sleeves and a button-down front, this shirt provides unrestricted movement and lasting comfort for active boys during everyday adventures and special occasions.
* DURABLE CRAFTSMANSHIP: Made with quality denim fabric, reinforced stitching, durable buttons, and neatly finished seams. Built to withstand regular wear while maintaining its shape, comfort, and premium appearance over time.
* SMART CASUAL DESIGN: Features a classic shirt collar, full button placket, curved hem, and versatile denim styling. The timeless design effortlessly pairs with jeans, chinos, joggers, and shorts for multiple fashion-forward looks.
* EASY CARE &amp; PACKAGE CONTENT: Machine wash cold with similar colours. Do not bleach. Iron on low heat when required. Package contains 1 Kids Boys Shirt with full sleeves, classic collar, and premium denim construction.</t>
        </is>
      </c>
      <c r="N260" s="48" t="inlineStr">
        <is>
          <t>Purple United Kids presents this premium Kids Boys Shirt designed for young trendsetters who appreciate timeless fashion with everyday comfort. Crafted in a rich denim finish, this versatile shirt combines modern styling with durable craftsmanship, making it an essential wardrobe staple for boys who enjoy smart-casual dressing and effortless fashion.
Made from soft-touch premium denim fabric, this Kids Boys Shirt features a classic shirt collar, full button-down front, full sleeves with buttoned cuffs, and a comfortable regular fit silhouette. The carefully finished seams, durable buttons, and refined denim texture create a polished premium appearance. Designed for versatility, this shirt offers breathable comfort while maintaining structure and shape throughout the day. The curved hemline and clean styling details enhance its contemporary appeal, making it suitable for both casual and elevated looks.
This Shirt for Boys delivers the perfect combination of comfort, durability, and style. The soft denim fabric provides all-day wearability, while the regular fit allows unrestricted movement. Its versatile design makes outfit coordination effortless, pairing easily with jeans, chinos, trousers, joggers, and shorts. The premium construction helps maintain its appearance even after repeated wear.
Perfect for family gatherings, birthday celebrations, festive occasions, vacations, casual outings, school events, weekend activities, and everyday wear. This Boys Shirt transitions seamlessly between relaxed and smart-casual settings, allowing kids to stay comfortable while looking effortlessly stylish throughout the day.
Upgrade your child's wardrobe with this premium Kids Boys Shirt from Purple United Kids. Please refer to the size chart before purchase to ensure the best fit. Machine wash with similar colours, avoid bleach, and iron on low heat if required. Package includes 1 Kids Boys Shirt designed with premium denim comfort, versatile styling, and long-lasting quality.</t>
        </is>
      </c>
    </row>
    <row r="261">
      <c r="A261" s="42" t="n"/>
      <c r="B261" s="34" t="inlineStr">
        <is>
          <t>PBDNSS001233</t>
        </is>
      </c>
      <c r="C261" s="34" t="inlineStr">
        <is>
          <t>APPAREL</t>
        </is>
      </c>
      <c r="D261" s="34" t="inlineStr">
        <is>
          <t xml:space="preserve">SHIRT </t>
        </is>
      </c>
      <c r="E261" s="34" t="inlineStr">
        <is>
          <t>BOYS</t>
        </is>
      </c>
      <c r="F261" s="34" t="inlineStr">
        <is>
          <t>BLUE</t>
        </is>
      </c>
      <c r="G261" s="34" t="inlineStr">
        <is>
          <t>PBDNSS001233-BLUE</t>
        </is>
      </c>
      <c r="H261" s="49" t="inlineStr">
        <is>
          <t>Purple United Kids Boys Denim Shirt | Washed Denim | Full Sleeve Shirt | Classic Collar | Soft-Touch Fabric | Button-Down Front | Blue | Smart Casual Styling Shirt for Boys</t>
        </is>
      </c>
      <c r="I261" s="48" t="inlineStr">
        <is>
          <t>Boys Washed Blue Denim Shirt</t>
        </is>
      </c>
      <c r="J261" s="49" t="inlineStr">
        <is>
          <t>Purple United Kids Boys Blue Full Sleeves Classic Collar Soft Comfort Fabric Denim Shirt</t>
        </is>
      </c>
      <c r="K261" s="49" t="inlineStr">
        <is>
          <t>Kids Boys Shirt in Blue Washed Denim with Full Sleeves, Classic Collar &amp; Soft Comfort Fabric</t>
        </is>
      </c>
      <c r="L261" s="49" t="inlineStr">
        <is>
          <t>Purple United Kids Boys Shirt in Blue Denim with Collar &amp; Soft Comfort Fabric</t>
        </is>
      </c>
      <c r="M261" s="51" t="inlineStr">
        <is>
          <t>* PREMIUM DENIM COMFORT: Crafted from soft-touch premium denim fabric, this Kids Boys Shirt offers a comfortable feel with a refined finish. The breathable construction ensures all-day ease while delivering elevated everyday style.
* COMFORTABLE FIT FOR GROWING BOYS: Designed in a regular fit silhouette with full sleeves and a button-down front, this shirt provides unrestricted movement and lasting comfort for active boys during everyday adventures and special occasions.
* DURABLE CRAFTSMANSHIP: Made with quality denim fabric, reinforced stitching, durable buttons, and neatly finished seams. Built to withstand regular wear while maintaining its shape, comfort, and premium appearance over time.
* SMART CASUAL DESIGN: Features a classic shirt collar, full button placket, curved hem, and versatile denim styling. The timeless design effortlessly pairs with jeans, chinos, joggers, and shorts for multiple fashion-forward looks.
* EASY CARE &amp; PACKAGE CONTENT: Machine wash cold with similar colours. Do not bleach. Iron on low heat when required. Package contains 1 Kids Boys Shirt with full sleeves, classic collar, and premium denim construction.</t>
        </is>
      </c>
      <c r="N261" s="48" t="inlineStr">
        <is>
          <t>Purple United Kids presents this premium Kids Boys Shirt designed for young trendsetters who appreciate timeless fashion with everyday comfort. Crafted in a rich denim finish, this versatile shirt combines modern styling with durable craftsmanship, making it an essential wardrobe staple for boys who enjoy smart-casual dressing and effortless fashion.
Made from soft-touch premium denim fabric, this Kids Boys Shirt features a classic shirt collar, full button-down front, full sleeves with buttoned cuffs, and a comfortable regular fit silhouette. The carefully finished seams, durable buttons, and refined denim texture create a polished premium appearance. Designed for versatility, this shirt offers breathable comfort while maintaining structure and shape throughout the day. The curved hemline and clean styling details enhance its contemporary appeal, making it suitable for both casual and elevated looks.
This Shirt for Boys delivers the perfect combination of comfort, durability, and style. The soft denim fabric provides all-day wearability, while the regular fit allows unrestricted movement. Its versatile design makes outfit coordination effortless, pairing easily with jeans, chinos, trousers, joggers, and shorts. The premium construction helps maintain its appearance even after repeated wear.
Perfect for family gatherings, birthday celebrations, festive occasions, vacations, casual outings, school events, weekend activities, and everyday wear. This Boys Shirt transitions seamlessly between relaxed and smart-casual settings, allowing kids to stay comfortable while looking effortlessly stylish throughout the day.
Upgrade your child's wardrobe with this premium Kids Boys Shirt from Purple United Kids. Please refer to the size chart before purchase to ensure the best fit. Machine wash with similar colours, avoid bleach, and iron on low heat if required. Package includes 1 Kids Boys Shirt designed with premium denim comfort, versatile styling, and long-lasting quality.</t>
        </is>
      </c>
    </row>
    <row r="262">
      <c r="A262" s="42" t="n"/>
      <c r="B262" s="34" t="inlineStr">
        <is>
          <t>PGDRSS002820</t>
        </is>
      </c>
      <c r="C262" s="34" t="inlineStr">
        <is>
          <t>APPAREL</t>
        </is>
      </c>
      <c r="D262" s="34" t="inlineStr">
        <is>
          <t>DRESS</t>
        </is>
      </c>
      <c r="E262" s="34" t="inlineStr">
        <is>
          <t>KIDS GIRLS</t>
        </is>
      </c>
      <c r="F262" s="34" t="inlineStr">
        <is>
          <t>LT. BLUE</t>
        </is>
      </c>
      <c r="G262" s="34" t="inlineStr">
        <is>
          <t>PGDRSS002820-LT. BLUE</t>
        </is>
      </c>
      <c r="H262" s="49" t="inlineStr">
        <is>
          <t>Purple United Kids Girls Dress | Layered Tier Design | Ruffle Sleeves | Gathered Waist | Soft Textured Fabric | Light Blue | Occasion Ready Style Dress for Girls</t>
        </is>
      </c>
      <c r="I262" s="48" t="inlineStr">
        <is>
          <t>Girls Light Blue Ruffle Dress</t>
        </is>
      </c>
      <c r="J262" s="49" t="inlineStr">
        <is>
          <t>Purple United Kids Girls Light Blue Ruffle Sleeves Smocked Waist Tiered Design Dress</t>
        </is>
      </c>
      <c r="K262" s="49" t="inlineStr">
        <is>
          <t>Kids Girls Dress in Light Blue with Ruffle Sleeves, Smocked Comfort Waist &amp; Tiered Design</t>
        </is>
      </c>
      <c r="L262" s="49" t="inlineStr">
        <is>
          <t>Purple United Kids Girls Dress in Light Blue with Ruffle Sleeves &amp; Smocked Waist</t>
        </is>
      </c>
      <c r="M262" s="51" t="inlineStr">
        <is>
          <t>* ELEGANT TIERED SILHOUETTE: Premium Kids Girls Dress crafted with soft textured fabric, delicate lace inserts, layered tier construction, and statement ruffle sleeves for a graceful and fashion-forward look.
* COMFORTABLE EVERYDAY FIT: Designed with a flexible smocked waist that offers a secure yet comfortable fit. Lightweight construction allows easy movement, making it ideal for growing kids.
* PREMIUM CRAFTSMANSHIP: Expertly tailored with quality stitching, durable seams, soft breathable fabric, and refined finishing details to ensure lasting comfort and everyday durability.
* CHARMING SUMMER STYLE: Featuring a soothing light blue shade, flutter sleeves, gathered panels, lace detailing, and a flowy tiered skirt perfect for vacations, birthdays, brunches, and celebrations.
* EASY CARE &amp; PACKAGE CONTENT: Machine wash gently with similar colours. Designed for hassle-free maintenance. Package includes 1 Purple United Kids Girls Dress.</t>
        </is>
      </c>
      <c r="N262" s="48" t="inlineStr">
        <is>
          <t>Purple United Kids brings a beautifully crafted Kids Girls Dress designed to add elegance, comfort, and effortless charm to your little one's wardrobe. Featuring a soothing light blue hue, delicate lace accents, and statement ruffle sleeves, this dress embodies modern premium kids fashion with timeless appeal.
Designed with a flattering smocked waist and graceful tiered silhouette, the dress creates a flowy, airy look while ensuring exceptional comfort throughout the day. The soft textured fabric feels gentle on the skin, while gathered detailing and intricate trims elevate its refined aesthetic.
Whether it's a family celebration, birthday party, holiday outing, summer vacation, casual gathering, or special occasion, this Dress for Girls delivers versatile styling that transitions seamlessly across events. The lightweight construction promotes breathability and unrestricted movement, allowing kids to stay comfortable while looking effortlessly stylish.
A signature blend of sophistication and playful charm, this Purple United Kids Girls Dress pairs beautifully with sandals, ballerinas, or sneakers for a complete fashion-forward look. Designed for girls who love comfort with elegance, it is a wardrobe essential for every season.</t>
        </is>
      </c>
    </row>
    <row r="263">
      <c r="A263" s="42" t="n"/>
      <c r="B263" s="34" t="inlineStr">
        <is>
          <t>PBTSHS002792</t>
        </is>
      </c>
      <c r="C263" s="34" t="inlineStr">
        <is>
          <t>APPAREL</t>
        </is>
      </c>
      <c r="D263" s="34" t="inlineStr">
        <is>
          <t>T-SHIRT</t>
        </is>
      </c>
      <c r="E263" s="34" t="inlineStr">
        <is>
          <t>KIDS BOYS</t>
        </is>
      </c>
      <c r="F263" s="34" t="inlineStr">
        <is>
          <t>BROWN</t>
        </is>
      </c>
      <c r="G263" s="34" t="inlineStr">
        <is>
          <t>PBTSHS002792-BROWN</t>
        </is>
      </c>
      <c r="H263" s="49" t="inlineStr">
        <is>
          <t>Purple United Kids Boys Tshirt | Bold Typography Graphic Print | Crew Neck Design | Half Sleeves | Soft Breathable Fabric | Brown | Everyday Comfort | Modern Casual Style Tshirt for Boys</t>
        </is>
      </c>
      <c r="I263" s="48" t="inlineStr">
        <is>
          <t>Boys Brown Casual Wear Tshirt</t>
        </is>
      </c>
      <c r="J263" s="49" t="inlineStr">
        <is>
          <t>Purple United Kids Boys Brown Crew Neck Half Sleeve Soft Fabric Comfort Casual Wear Tshirt</t>
        </is>
      </c>
      <c r="K263" s="49" t="inlineStr">
        <is>
          <t>Kids Boys Tshirt in Brown with Crew Neck, Half Sleeves &amp; Soft Fabric Comfort for Summers</t>
        </is>
      </c>
      <c r="L263" s="49" t="inlineStr">
        <is>
          <t>Purple United Kids Boys Tshirt in Brown with Crew Neck &amp; Soft Fabric Comfort</t>
        </is>
      </c>
      <c r="M263" s="51" t="inlineStr">
        <is>
          <t>* BOLD TYPOGRAPHY GRAPHIC DESIGN: Designed with a striking typography graphic print, this Kids Boys Tshirt delivers a confident and contemporary look that adds personality to everyday outfits.
* SOFT &amp; COMFORTABLE FEEL: Crafted from soft, breathable fabric, this tshirt offers lasting comfort and a lightweight feel, making it ideal for daily wear and active lifestyles.
* CLASSIC CREW NECK STYLING: The timeless crew neck construction provides a clean and versatile silhouette that pairs effortlessly with jeans, shorts, and joggers.
* EVERYDAY READY FIT: Featuring a comfortable regular fit and half sleeves, this tshirt allows easy movement while maintaining a smart and polished appearance.
* PREMIUM QUALITY &amp; PACKAGE CONTENT: Expertly crafted with durable stitching and quality finishing. Package includes 1 Kids Boys Tshirt designed for comfort, style, and everyday versatility.</t>
        </is>
      </c>
      <c r="N263" s="48" t="inlineStr">
        <is>
          <t>Upgrade everyday dressing with this premium Kids Boys Tshirt from Purple United Kids. Designed in a rich brown shade, this stylish tee features a bold typography graphic print that brings a modern and energetic appeal to your child's wardrobe. The statement artwork adds a fashionable edge while maintaining everyday wearability.
Crafted from soft and breathable fabric, this tshirt ensures lasting comfort throughout the day. The lightweight construction feels gentle on the skin, making it suitable for school, outings, travel, playtime, and casual occasions. The classic crew neck and half-sleeve design create a timeless silhouette that remains comfortable across seasons.
Thoughtfully designed for active kids, the regular fit allows unrestricted movement while maintaining a neat appearance. The premium-quality print and durable stitching enhance longevity, ensuring the tshirt retains its look and feel through regular wear.
Perfect for pairing with denim, joggers, shorts, and casual bottoms, this versatile Kids Boys Tshirt effortlessly complements modern kidswear styling. Whether for weekend adventures, family outings, vacations, or daily wear, it offers the ideal balance of comfort and contemporary fashion.
For best care, machine wash according to garment instructions. Package includes 1 Kids Boys Tshirt, designed to deliver signature Purple United Kids style, comfort, and everyday versatility.</t>
        </is>
      </c>
    </row>
    <row r="264">
      <c r="A264" s="42" t="n"/>
      <c r="B264" s="34" t="inlineStr">
        <is>
          <t>PGDNHS003017</t>
        </is>
      </c>
      <c r="C264" s="34" t="inlineStr">
        <is>
          <t>APPAREL</t>
        </is>
      </c>
      <c r="D264" s="34" t="inlineStr">
        <is>
          <t>SHORTS</t>
        </is>
      </c>
      <c r="E264" s="34" t="inlineStr">
        <is>
          <t>KIDS GIRLS</t>
        </is>
      </c>
      <c r="F264" s="34" t="inlineStr">
        <is>
          <t>BLUE</t>
        </is>
      </c>
      <c r="G264" s="34" t="inlineStr">
        <is>
          <t>PGDNHS003017-BLUE</t>
        </is>
      </c>
      <c r="H264" s="49" t="inlineStr">
        <is>
          <t>Purple United Kids Girls Denim Shorts | Belt Detail Waist | Relaxed Fit | Functional Pockets | Premium Denim Construction | Blue | Everyday Comfort | Fashion-Forward Styling</t>
        </is>
      </c>
      <c r="I264" s="48" t="inlineStr">
        <is>
          <t>Girls Blue Denim Casual Shorts</t>
        </is>
      </c>
      <c r="J264" s="49" t="inlineStr">
        <is>
          <t>Purple United Kids Girls Blue Belt Detail Functional Pockets Relaxed Fit Denim Shorts</t>
        </is>
      </c>
      <c r="K264" s="49" t="inlineStr">
        <is>
          <t>Kids Girls Shorts in Blue Denim with Belt Detail, Functional Pockets &amp; Comfort Relaxed Fit</t>
        </is>
      </c>
      <c r="L264" s="49" t="inlineStr">
        <is>
          <t>Purple United Kids Girls Shorts in Blue Denim with Belt Detail &amp; Comfort Relaxed Fit</t>
        </is>
      </c>
      <c r="M264" s="51" t="inlineStr">
        <is>
          <t>* STYLISH BELT DETAIL WAIST: Designed with an integrated belt-detail waistband, these Kids Girls Shorts offer a polished and fashion-forward look that elevates everyday dressing.
* PREMIUM DENIM CONSTRUCTION: Crafted from quality denim fabric with a soft hand feel, these shorts combine durability and comfort for active kids and daily adventures.
* RELAXED COMFORT FIT: The thoughtfully tailored silhouette provides a relaxed fit that allows effortless movement, ensuring all-day comfort during play, travel, and outings.
* FUNCTIONAL POCKET DESIGN: Featuring practical side pockets and premium stitch detailing, these shorts blend utility with contemporary kidswear styling.
* PREMIUM QUALITY &amp; PACKAGE CONTENT: Expertly finished with durable construction and refined detailing. Package includes 1 Kids Girls Shorts designed for comfort, versatility, and signature Purple United Kids style.</t>
        </is>
      </c>
      <c r="N264" s="48" t="inlineStr">
        <is>
          <t>Refresh your child's wardrobe with these premium Kids Girls Shorts from Purple United Kids. Crafted in a versatile blue denim wash, these stylish shorts feature a sophisticated belt-detail waistband that adds a refined touch to everyday fashion. The modern silhouette and elevated detailing create a trend-forward look suitable for multiple occasions.
Made from premium-quality denim fabric, these shorts offer the perfect balance of durability, comfort, and style. The soft feel and structured construction ensure lasting wear while keeping young explorers comfortable throughout the day. Functional side pockets and contrast stitch detailing further enhance the premium aesthetic.
Designed with a relaxed fit, these shorts allow unrestricted movement, making them ideal for active days, vacations, weekend outings, and casual gatherings. The versatile blue denim shade pairs effortlessly with tops, tees, shirts, and casual footwear for easy styling.
Whether worn for travel, playdates, family outings, or everyday adventures, these Shorts for Girls deliver a stylish combination of comfort and contemporary fashion. Thoughtfully crafted with Purple United Kids' commitment to premium kidswear, they are a versatile addition to any wardrobe.
For best care, machine wash according to garment instructions. Package includes 1 Kids Girls Shorts designed for modern style, comfort, and everyday versatility.</t>
        </is>
      </c>
    </row>
    <row r="265">
      <c r="A265" s="42" t="n"/>
      <c r="B265" s="34" t="inlineStr">
        <is>
          <t>PUROMS003121</t>
        </is>
      </c>
      <c r="C265" s="34" t="inlineStr">
        <is>
          <t>APPAREL</t>
        </is>
      </c>
      <c r="D265" s="34" t="inlineStr">
        <is>
          <t>ROMPER</t>
        </is>
      </c>
      <c r="E265" s="34" t="inlineStr">
        <is>
          <t>KIDS-UNISEX</t>
        </is>
      </c>
      <c r="F265" s="34" t="inlineStr">
        <is>
          <t>DK. BLUE</t>
        </is>
      </c>
      <c r="G265" s="34" t="inlineStr">
        <is>
          <t>PUROMS003121-DK. BLUE</t>
        </is>
      </c>
      <c r="H265" s="49" t="inlineStr">
        <is>
          <t>Purple United Infant Baby Romper | Contrast Panel Design | Soft Knit Fabric | Shoulder &amp; Bottom Snap Closure | Raglan Sleeves | Comfort Fit | Dark Blue | Premium Everyday Essential</t>
        </is>
      </c>
      <c r="I265" s="48" t="inlineStr">
        <is>
          <t>Infant Comfort Fit Romper</t>
        </is>
      </c>
      <c r="J265" s="49" t="inlineStr">
        <is>
          <t>Purple United Kids Infant Baby Contrast Panels Snap Closure Soft Knit Comfort Romper</t>
        </is>
      </c>
      <c r="K265" s="49" t="inlineStr">
        <is>
          <t>Infant Baby Romper in Dark Blue with Contrast Panels, Snap Closure &amp; Soft Knit Comfort</t>
        </is>
      </c>
      <c r="L265" s="49" t="inlineStr">
        <is>
          <t>Purple United Kids Infant Baby Romper in Dark Blue with Snap Closure &amp; Soft Knit Comfort</t>
        </is>
      </c>
      <c r="M265" s="51" t="inlineStr">
        <is>
          <t>* CONTRAST PANEL DESIGN: Designed with premium contrast colour-block panels, this Infant Baby Romper delivers a sporty and contemporary look. The thoughtfully placed panels enhance visual appeal while giving the outfit a distinctive, fashion-forward character.
* SOFT KNIT FABRIC: Crafted from soft, breathable knit fabric that feels gentle against delicate skin. The lightweight construction promotes lasting comfort throughout the day, making it ideal for everyday wear, playtime, and outings.
* SNAP BUTTON CLOSURE: Features convenient shoulder and bottom snap button closures that make dressing and diaper changes quick and effortless. The practical design ensures a secure fit while providing maximum convenience for parents.
* RAGLAN SLEEVE CONSTRUCTION: Expertly designed with raglan sleeves that support natural movement and flexibility. This construction enhances comfort around the shoulders, allowing little ones to move freely while maintaining a stylish appearance.
* COMFORT FIT &amp; PREMIUM FINISH: Tailored with a relaxed comfort fit and finished with durable stitching for long-lasting wear. Premium craftsmanship, clean detailing, and quality construction make this romper a dependable everyday wardrobe essential.</t>
        </is>
      </c>
      <c r="N265" s="48" t="inlineStr">
        <is>
          <t>Purple United Kids presents this premium Infant Baby Romper, thoughtfully designed to deliver everyday comfort with modern styling. Featuring a contrast panel construction and relaxed silhouette, this romper combines functionality, softness, and contemporary design for little explorers.
Crafted from soft and breathable knit fabric, this Infant Baby Romper offers a gentle feel against delicate skin. It features raglan sleeves for enhanced flexibility, shoulder and bottom snap button closures for easy dressing and diaper changes, and a comfort-focused fit that supports natural movement. The contrast panel detailing adds a stylish, sporty touch while maintaining a clean and premium appearance.
Designed for all-day comfort, this romper provides unrestricted movement, lightweight wearability, and practical functionality. The soft fabric helps keep babies comfortable throughout playtime, naps, and outings, while the snap closure design offers convenience for parents. Durable stitching and quality construction ensure long-lasting performance through everyday use.
Perfect for daily wear, playtime, travel, family outings, casual gatherings, and special moments. This Infant Baby Romper offers versatile styling that works effortlessly across seasons while keeping little ones comfortable and well-dressed throughout the day.
Add this premium Infant Baby Romper to your baby's wardrobe for a combination of comfort, quality, and everyday style. Please refer to the size chart for the best fit. Machine wash with similar colours, avoid bleach, and dry in shade to maintain fabric softness and durability. Package includes 1 Infant Baby Romper.</t>
        </is>
      </c>
    </row>
    <row r="266">
      <c r="A266" s="42" t="n"/>
      <c r="B266" s="34" t="inlineStr">
        <is>
          <t>PUROMS003120</t>
        </is>
      </c>
      <c r="C266" s="34" t="inlineStr">
        <is>
          <t>APPAREL</t>
        </is>
      </c>
      <c r="D266" s="34" t="inlineStr">
        <is>
          <t>ROMPER</t>
        </is>
      </c>
      <c r="E266" s="34" t="inlineStr">
        <is>
          <t>KIDS-UNISEX</t>
        </is>
      </c>
      <c r="F266" s="34" t="inlineStr">
        <is>
          <t>RED</t>
        </is>
      </c>
      <c r="G266" s="34" t="inlineStr">
        <is>
          <t>PUROMS003120-RED</t>
        </is>
      </c>
      <c r="H266" s="49" t="inlineStr">
        <is>
          <t>Purple United Kids Infant Baby Romper | Soft Striped Knit Fabric | Contrast Pocket Detail | Envelope Neckline | Snap Button Closure | Red | Comfort Fit for Everyday Wear</t>
        </is>
      </c>
      <c r="I266" s="48" t="inlineStr">
        <is>
          <t>Infant Baby Striped Romper</t>
        </is>
      </c>
      <c r="J266" s="49" t="inlineStr">
        <is>
          <t>Purple United Kids Infant Baby Red Stripe Pattern Pocket Detail Snap Button Closure Romper</t>
        </is>
      </c>
      <c r="K266" s="49" t="inlineStr">
        <is>
          <t>Infant Baby Romper in Red with Striped Pattern, Pocket Detail &amp; Snap Button Closure</t>
        </is>
      </c>
      <c r="L266" s="49" t="inlineStr">
        <is>
          <t>Purple United Kids Infant Baby Romper in Red with Striped Pattern &amp; Snap Button Closure</t>
        </is>
      </c>
      <c r="M266" s="51" t="inlineStr">
        <is>
          <t>* SOFT KNIT FABRIC COMFORT: Crafted from soft and breathable knit fabric, this Infant Baby Romper feels gentle on delicate skin while providing lightweight comfort for everyday wear, playtime, naps, and outings.
* EASY DRESSING DESIGN: Designed with an envelope neckline and convenient bottom snap button closure for hassle-free dressing and quick diaper changes, making everyday care easier for parents.
* COMFORT-FIT CONSTRUCTION: Features a relaxed silhouette with soft seam finishing that supports natural movement and flexibility, helping babies stay comfortable during crawling, stretching, and active play.
* STRIPED DETAILING &amp; POCKET ACCENT: Styled with vibrant striped detailing, contrast trims, and a functional patch pocket that add a playful yet premium touch to this everyday infant essential.
* EASY CARE &amp; PACKAGE CONTENT: Designed for regular everyday use with durable stitching and lasting softness. Machine wash with similar colours. Package includes 1 Infant Baby Romper.</t>
        </is>
      </c>
      <c r="N266" s="48" t="inlineStr">
        <is>
          <t>Bring together comfort, functionality, and adorable styling with this thoughtfully designed Infant Baby Romper. Crafted from soft, breathable knit fabric, this romper offers a gentle feel against delicate baby skin while ensuring lasting comfort throughout the day. The lightweight construction helps keep little ones comfortable during playtime, naptime, and everyday adventures.
Featuring an attractive red, pink, and white striped pattern, this romper delivers a cheerful and charming look that suits every occasion. The vibrant contrast detailing along the neckline and leg openings enhances the overall appearance, creating a stylish outfit that is both playful and practical. A cute contrast patch pocket paired with a delightful graphic print adds an extra touch of character, making this romper a standout addition to your baby's wardrobe.
Designed for convenience, the romper features an envelope neckline that allows easy dressing and removal without causing discomfort. The thoughtfully engineered opening provides flexibility around the neck area, helping parents dress their little ones quickly and effortlessly. Snap button closures at the bottom make diaper changes simple and hassle-free while ensuring a secure fit throughout the day.
The relaxed silhouette and flexible construction support unrestricted movement, allowing babies to crawl, stretch, roll, and explore comfortably. Carefully finished seams help minimize irritation, while the premium-quality fabric maintains softness and shape even after repeated washing and regular wear.
Ideal for everyday use, playdates, travel, lounging, or casual outings, this Infant Baby Romper combines practical functionality with charming design details. The breathable fabric, easy-access closures, comfortable fit, and playful styling make it a dependable wardrobe essential for growing babies.</t>
        </is>
      </c>
    </row>
    <row r="267">
      <c r="A267" s="42" t="n"/>
      <c r="B267" s="34" t="n"/>
      <c r="C267" s="34" t="n"/>
      <c r="D267" s="34" t="n"/>
      <c r="E267" s="34" t="n"/>
      <c r="F267" s="34" t="n"/>
      <c r="G267" s="34" t="n"/>
      <c r="H267" s="49" t="n"/>
      <c r="I267" s="48" t="n"/>
      <c r="J267" s="49" t="n"/>
      <c r="K267" s="49" t="n"/>
      <c r="L267" s="49" t="n"/>
      <c r="M267" s="51" t="n"/>
      <c r="N267" s="48" t="n"/>
    </row>
    <row r="268">
      <c r="A268" s="42" t="n"/>
      <c r="B268" s="34" t="n"/>
      <c r="C268" s="34" t="n"/>
      <c r="D268" s="34" t="n"/>
      <c r="E268" s="34" t="n"/>
      <c r="F268" s="34" t="n"/>
      <c r="G268" s="34" t="n"/>
      <c r="H268" s="49" t="n"/>
      <c r="J268" s="49" t="n"/>
      <c r="K268" s="49" t="n"/>
      <c r="L268" s="49" t="n"/>
      <c r="M268" s="51" t="n"/>
      <c r="N268" s="48" t="n"/>
    </row>
    <row r="269">
      <c r="A269" s="42" t="n"/>
      <c r="B269" s="34" t="n"/>
      <c r="C269" s="34" t="n"/>
      <c r="D269" s="34" t="n"/>
      <c r="E269" s="34" t="n"/>
      <c r="F269" s="34" t="n"/>
      <c r="G269" s="34" t="n"/>
      <c r="H269" s="49" t="n"/>
      <c r="I269" s="48" t="n"/>
      <c r="J269" s="49" t="n"/>
      <c r="K269" s="49" t="n"/>
      <c r="L269" s="49" t="n"/>
      <c r="M269" s="51" t="n"/>
      <c r="N269" s="48" t="n"/>
    </row>
    <row r="270">
      <c r="A270" s="42" t="n"/>
      <c r="B270" s="34" t="n"/>
      <c r="C270" s="34" t="n"/>
      <c r="D270" s="34" t="n"/>
      <c r="E270" s="34" t="n"/>
      <c r="F270" s="34" t="n"/>
      <c r="G270" s="34" t="n"/>
      <c r="H270" s="49" t="n"/>
      <c r="I270" s="48" t="n"/>
      <c r="J270" s="49" t="n"/>
      <c r="K270" s="49" t="n"/>
      <c r="L270" s="49" t="n"/>
      <c r="M270" s="51" t="n"/>
      <c r="N270" s="48" t="n"/>
    </row>
    <row r="271">
      <c r="A271" s="42" t="n"/>
      <c r="B271" s="34" t="n"/>
      <c r="C271" s="34" t="n"/>
      <c r="D271" s="34" t="n"/>
      <c r="E271" s="34" t="n"/>
      <c r="F271" s="34" t="n"/>
      <c r="G271" s="34" t="n"/>
      <c r="H271" s="49" t="n"/>
      <c r="I271" s="48" t="n"/>
      <c r="J271" s="49" t="n"/>
      <c r="K271" s="49" t="n"/>
      <c r="L271" s="49" t="n"/>
      <c r="M271" s="51" t="n"/>
      <c r="N271" s="48" t="n"/>
    </row>
    <row r="272">
      <c r="A272" s="42" t="n"/>
      <c r="B272" s="34" t="n"/>
      <c r="C272" s="34" t="n"/>
      <c r="D272" s="34" t="n"/>
      <c r="E272" s="34" t="n"/>
      <c r="F272" s="34" t="n"/>
      <c r="G272" s="34" t="n"/>
      <c r="H272" s="49" t="n"/>
      <c r="I272" s="48" t="n"/>
      <c r="J272" s="49" t="n"/>
      <c r="K272" s="49" t="n"/>
      <c r="L272" s="49" t="n"/>
      <c r="M272" s="51" t="n"/>
      <c r="N272" s="48" t="n"/>
    </row>
    <row r="273">
      <c r="A273" s="42" t="n"/>
      <c r="B273" s="34" t="n"/>
      <c r="C273" s="34" t="n"/>
      <c r="D273" s="34" t="n"/>
      <c r="E273" s="34" t="n"/>
      <c r="F273" s="34" t="n"/>
      <c r="G273" s="34" t="n"/>
      <c r="H273" s="49" t="n"/>
      <c r="I273" s="48" t="n"/>
      <c r="J273" s="49" t="n"/>
      <c r="K273" s="49" t="n"/>
      <c r="L273" s="49" t="n"/>
      <c r="M273" s="51" t="n"/>
      <c r="N273" s="48" t="n"/>
    </row>
    <row r="274">
      <c r="A274" s="42" t="n"/>
      <c r="B274" s="34" t="n"/>
      <c r="C274" s="34" t="n"/>
      <c r="D274" s="34" t="n"/>
      <c r="E274" s="34" t="n"/>
      <c r="F274" s="34" t="n"/>
      <c r="G274" s="34" t="n"/>
      <c r="H274" s="49" t="n"/>
      <c r="I274" s="48" t="n"/>
      <c r="J274" s="49" t="n"/>
      <c r="K274" s="49" t="n"/>
      <c r="L274" s="49" t="n"/>
      <c r="M274" s="51" t="n"/>
      <c r="N274" s="48" t="n"/>
    </row>
    <row r="275">
      <c r="A275" s="42" t="n"/>
      <c r="B275" s="34" t="n"/>
      <c r="C275" s="34" t="n"/>
      <c r="D275" s="34" t="n"/>
      <c r="E275" s="34" t="n"/>
      <c r="F275" s="34" t="n"/>
      <c r="G275" s="34" t="n"/>
      <c r="H275" s="49" t="n"/>
      <c r="I275" s="48" t="n"/>
      <c r="J275" s="49" t="n"/>
      <c r="K275" s="49" t="n"/>
      <c r="L275" s="49" t="n"/>
      <c r="M275" s="51" t="n"/>
      <c r="N275" s="48" t="n"/>
    </row>
    <row r="276">
      <c r="A276" s="42" t="n"/>
      <c r="B276" s="34" t="n"/>
      <c r="C276" s="34" t="n"/>
      <c r="D276" s="34" t="n"/>
      <c r="E276" s="34" t="n"/>
      <c r="F276" s="34" t="n"/>
      <c r="G276" s="34" t="n"/>
      <c r="H276" s="49" t="n"/>
      <c r="I276" s="48" t="n"/>
      <c r="J276" s="49" t="n"/>
      <c r="K276" s="49" t="n"/>
      <c r="L276" s="49" t="n"/>
      <c r="M276" s="51" t="n"/>
      <c r="N276" s="48" t="n"/>
    </row>
    <row r="277">
      <c r="A277" s="42" t="n"/>
      <c r="B277" s="34" t="n"/>
      <c r="C277" s="34" t="n"/>
      <c r="D277" s="34" t="n"/>
      <c r="E277" s="34" t="n"/>
      <c r="F277" s="34" t="n"/>
      <c r="G277" s="34" t="n"/>
      <c r="H277" s="49" t="n"/>
      <c r="I277" s="48" t="n"/>
      <c r="J277" s="49" t="n"/>
      <c r="K277" s="49" t="n"/>
      <c r="L277" s="49" t="n"/>
      <c r="M277" s="51" t="n"/>
      <c r="N277" s="48" t="n"/>
    </row>
    <row r="278">
      <c r="A278" s="42" t="n"/>
      <c r="B278" s="34" t="n"/>
      <c r="C278" s="34" t="n"/>
      <c r="D278" s="34" t="n"/>
      <c r="E278" s="34" t="n"/>
      <c r="F278" s="34" t="n"/>
      <c r="G278" s="34" t="n"/>
      <c r="H278" s="49" t="n"/>
      <c r="I278" s="48" t="n"/>
      <c r="J278" s="49" t="n"/>
      <c r="K278" s="49" t="n"/>
      <c r="L278" s="49" t="n"/>
      <c r="M278" s="51" t="n"/>
      <c r="N278" s="48" t="n"/>
    </row>
    <row r="279">
      <c r="A279" s="42" t="n"/>
      <c r="B279" s="34" t="n"/>
      <c r="C279" s="34" t="n"/>
      <c r="D279" s="34" t="n"/>
      <c r="E279" s="34" t="n"/>
      <c r="F279" s="34" t="n"/>
      <c r="G279" s="34" t="n"/>
      <c r="H279" s="49" t="n"/>
      <c r="I279" s="48" t="n"/>
      <c r="J279" s="49" t="n"/>
      <c r="K279" s="49" t="n"/>
      <c r="L279" s="49" t="n"/>
      <c r="M279" s="51" t="n"/>
      <c r="N279" s="48" t="n"/>
    </row>
    <row r="280">
      <c r="A280" s="42" t="n"/>
      <c r="B280" s="34" t="n"/>
      <c r="C280" s="34" t="n"/>
      <c r="D280" s="34" t="n"/>
      <c r="E280" s="34" t="n"/>
      <c r="F280" s="34" t="n"/>
      <c r="G280" s="34" t="n"/>
      <c r="H280" s="49" t="n"/>
      <c r="I280" s="48" t="n"/>
      <c r="J280" s="49" t="n"/>
      <c r="K280" s="49" t="n"/>
      <c r="L280" s="49" t="n"/>
      <c r="M280" s="51" t="n"/>
      <c r="N280" s="48" t="n"/>
    </row>
    <row r="281">
      <c r="A281" s="42" t="n"/>
      <c r="B281" s="34" t="n"/>
      <c r="C281" s="34" t="n"/>
      <c r="D281" s="34" t="n"/>
      <c r="E281" s="34" t="n"/>
      <c r="F281" s="34" t="n"/>
      <c r="G281" s="34" t="n"/>
      <c r="H281" s="49" t="n"/>
      <c r="I281" s="48" t="n"/>
      <c r="J281" s="49" t="n"/>
      <c r="K281" s="49" t="n"/>
      <c r="L281" s="49" t="n"/>
      <c r="M281" s="51" t="n"/>
      <c r="N281" s="48" t="n"/>
    </row>
    <row r="282">
      <c r="A282" s="42" t="n"/>
      <c r="B282" s="34" t="n"/>
      <c r="C282" s="34" t="n"/>
      <c r="D282" s="34" t="n"/>
      <c r="E282" s="34" t="n"/>
      <c r="F282" s="34" t="n"/>
      <c r="G282" s="34" t="n"/>
      <c r="H282" s="49" t="n"/>
      <c r="I282" s="48" t="n"/>
      <c r="J282" s="49" t="n"/>
      <c r="K282" s="49" t="n"/>
      <c r="L282" s="49" t="n"/>
      <c r="M282" s="51" t="n"/>
      <c r="N282" s="48" t="n"/>
    </row>
    <row r="283">
      <c r="A283" s="42" t="n"/>
      <c r="B283" s="34" t="n"/>
      <c r="C283" s="34" t="n"/>
      <c r="D283" s="34" t="n"/>
      <c r="E283" s="34" t="n"/>
      <c r="F283" s="34" t="n"/>
      <c r="G283" s="34" t="n"/>
      <c r="H283" s="49" t="n"/>
      <c r="I283" s="48" t="n"/>
      <c r="J283" s="49" t="n"/>
      <c r="K283" s="49" t="n"/>
      <c r="L283" s="49" t="n"/>
      <c r="M283" s="51" t="n"/>
      <c r="N283" s="48" t="n"/>
    </row>
    <row r="284">
      <c r="A284" s="42" t="n"/>
      <c r="B284" s="34" t="n"/>
      <c r="C284" s="34" t="n"/>
      <c r="D284" s="34" t="n"/>
      <c r="E284" s="34" t="n"/>
      <c r="F284" s="34" t="n"/>
      <c r="G284" s="34" t="n"/>
      <c r="H284" s="49" t="n"/>
      <c r="I284" s="48" t="n"/>
      <c r="J284" s="49" t="n"/>
      <c r="K284" s="49" t="n"/>
      <c r="L284" s="49" t="n"/>
      <c r="M284" s="51" t="n"/>
      <c r="N284" s="48" t="n"/>
    </row>
    <row r="285">
      <c r="A285" s="42" t="n"/>
      <c r="B285" s="34" t="n"/>
      <c r="C285" s="34" t="n"/>
      <c r="D285" s="34" t="n"/>
      <c r="E285" s="34" t="n"/>
      <c r="F285" s="34" t="n"/>
      <c r="G285" s="34" t="n"/>
      <c r="H285" s="49" t="n"/>
      <c r="I285" s="48" t="n"/>
      <c r="J285" s="49" t="n"/>
      <c r="K285" s="49" t="n"/>
      <c r="L285" s="49" t="n"/>
      <c r="M285" s="51" t="n"/>
      <c r="N285" s="48" t="n"/>
    </row>
    <row r="286">
      <c r="A286" s="42" t="n"/>
      <c r="B286" s="34" t="n"/>
      <c r="C286" s="34" t="n"/>
      <c r="D286" s="34" t="n"/>
      <c r="E286" s="34" t="n"/>
      <c r="F286" s="34" t="n"/>
      <c r="G286" s="34" t="n"/>
      <c r="H286" s="49" t="n"/>
      <c r="I286" s="48" t="n"/>
      <c r="J286" s="49" t="n"/>
      <c r="K286" s="49" t="n"/>
      <c r="L286" s="49" t="n"/>
      <c r="M286" s="51" t="n"/>
      <c r="N286" s="48" t="n"/>
    </row>
    <row r="287">
      <c r="A287" s="42" t="n"/>
      <c r="B287" s="34" t="n"/>
      <c r="C287" s="34" t="n"/>
      <c r="D287" s="34" t="n"/>
      <c r="E287" s="34" t="n"/>
      <c r="F287" s="34" t="n"/>
      <c r="G287" s="34" t="n"/>
      <c r="H287" s="49" t="n"/>
      <c r="I287" s="48" t="n"/>
      <c r="J287" s="49" t="n"/>
      <c r="K287" s="49" t="n"/>
      <c r="L287" s="49" t="n"/>
      <c r="M287" s="51" t="n"/>
      <c r="N287" s="48" t="n"/>
    </row>
    <row r="288">
      <c r="A288" s="42" t="n"/>
      <c r="B288" s="34" t="n"/>
      <c r="C288" s="34" t="n"/>
      <c r="D288" s="34" t="n"/>
      <c r="E288" s="34" t="n"/>
      <c r="F288" s="34" t="n"/>
      <c r="G288" s="34" t="n"/>
      <c r="H288" s="49" t="n"/>
      <c r="I288" s="48" t="n"/>
      <c r="J288" s="49" t="n"/>
      <c r="K288" s="49" t="n"/>
      <c r="L288" s="49" t="n"/>
      <c r="M288" s="51" t="n"/>
      <c r="N288" s="48" t="n"/>
    </row>
    <row r="289">
      <c r="A289" s="42" t="n"/>
      <c r="B289" s="34" t="n"/>
      <c r="C289" s="34" t="n"/>
      <c r="D289" s="34" t="n"/>
      <c r="E289" s="34" t="n"/>
      <c r="F289" s="34" t="n"/>
      <c r="G289" s="34" t="n"/>
      <c r="H289" s="49" t="n"/>
      <c r="I289" s="48" t="n"/>
      <c r="J289" s="49" t="n"/>
      <c r="K289" s="49" t="n"/>
      <c r="L289" s="49" t="n"/>
      <c r="M289" s="51" t="n"/>
      <c r="N289" s="48" t="n"/>
    </row>
    <row r="290">
      <c r="A290" s="42" t="n"/>
      <c r="B290" s="34" t="n"/>
      <c r="C290" s="34" t="n"/>
      <c r="D290" s="34" t="n"/>
      <c r="E290" s="34" t="n"/>
      <c r="F290" s="34" t="n"/>
      <c r="G290" s="34" t="n"/>
      <c r="H290" s="49" t="n"/>
      <c r="I290" s="48" t="n"/>
      <c r="J290" s="49" t="n"/>
      <c r="K290" s="49" t="n"/>
      <c r="L290" s="49" t="n"/>
      <c r="M290" s="51" t="n"/>
      <c r="N290" s="48" t="n"/>
    </row>
    <row r="291">
      <c r="A291" s="42" t="n"/>
      <c r="B291" s="34" t="n"/>
      <c r="C291" s="34" t="n"/>
      <c r="D291" s="34" t="n"/>
      <c r="E291" s="34" t="n"/>
      <c r="F291" s="34" t="n"/>
      <c r="G291" s="34" t="n"/>
      <c r="H291" s="49" t="n"/>
      <c r="I291" s="48" t="n"/>
      <c r="J291" s="49" t="n"/>
      <c r="K291" s="49" t="n"/>
      <c r="L291" s="49" t="n"/>
      <c r="M291" s="51" t="n"/>
      <c r="N291" s="48" t="n"/>
    </row>
    <row r="292">
      <c r="A292" s="42" t="n"/>
      <c r="B292" s="34" t="n"/>
      <c r="C292" s="34" t="n"/>
      <c r="D292" s="34" t="n"/>
      <c r="E292" s="34" t="n"/>
      <c r="F292" s="34" t="n"/>
      <c r="G292" s="34" t="n"/>
      <c r="H292" s="49" t="n"/>
      <c r="I292" s="48" t="n"/>
      <c r="J292" s="49" t="n"/>
      <c r="K292" s="49" t="n"/>
      <c r="L292" s="49" t="n"/>
      <c r="M292" s="51" t="n"/>
      <c r="N292" s="48" t="n"/>
    </row>
    <row r="293">
      <c r="A293" s="42" t="n"/>
      <c r="B293" s="34" t="n"/>
      <c r="C293" s="34" t="n"/>
      <c r="D293" s="34" t="n"/>
      <c r="E293" s="34" t="n"/>
      <c r="F293" s="34" t="n"/>
      <c r="G293" s="34" t="n"/>
      <c r="H293" s="49" t="n"/>
      <c r="I293" s="48" t="n"/>
      <c r="J293" s="49" t="n"/>
      <c r="K293" s="49" t="n"/>
      <c r="L293" s="49" t="n"/>
      <c r="M293" s="51" t="n"/>
      <c r="N293" s="48" t="n"/>
    </row>
    <row r="294">
      <c r="A294" s="42" t="n"/>
      <c r="B294" s="34" t="n"/>
      <c r="C294" s="34" t="n"/>
      <c r="D294" s="34" t="n"/>
      <c r="E294" s="34" t="n"/>
      <c r="F294" s="34" t="n"/>
      <c r="G294" s="34" t="n"/>
      <c r="H294" s="49" t="n"/>
      <c r="I294" s="48" t="n"/>
      <c r="J294" s="49" t="n"/>
      <c r="K294" s="49" t="n"/>
      <c r="L294" s="49" t="n"/>
      <c r="M294" s="51" t="n"/>
      <c r="N294" s="48" t="n"/>
    </row>
    <row r="295">
      <c r="A295" s="42" t="n"/>
      <c r="B295" s="34" t="n"/>
      <c r="C295" s="34" t="n"/>
      <c r="D295" s="34" t="n"/>
      <c r="E295" s="34" t="n"/>
      <c r="F295" s="34" t="n"/>
      <c r="G295" s="34" t="n"/>
      <c r="H295" s="49" t="n"/>
      <c r="I295" s="48" t="n"/>
      <c r="J295" s="49" t="n"/>
      <c r="K295" s="49" t="n"/>
      <c r="L295" s="49" t="n"/>
      <c r="M295" s="51" t="n"/>
      <c r="N295" s="48" t="n"/>
    </row>
    <row r="296">
      <c r="A296" s="42" t="n"/>
      <c r="B296" s="34" t="n"/>
      <c r="C296" s="34" t="n"/>
      <c r="D296" s="34" t="n"/>
      <c r="E296" s="34" t="n"/>
      <c r="F296" s="34" t="n"/>
      <c r="G296" s="34" t="n"/>
      <c r="H296" s="49" t="n"/>
      <c r="I296" s="48" t="n"/>
      <c r="J296" s="49" t="n"/>
      <c r="K296" s="49" t="n"/>
      <c r="L296" s="49" t="n"/>
      <c r="M296" s="51" t="n"/>
      <c r="N296" s="48" t="n"/>
    </row>
    <row r="297">
      <c r="A297" s="42" t="n"/>
      <c r="B297" s="34" t="n"/>
      <c r="C297" s="34" t="n"/>
      <c r="D297" s="34" t="n"/>
      <c r="E297" s="34" t="n"/>
      <c r="F297" s="34" t="n"/>
      <c r="G297" s="34" t="n"/>
      <c r="H297" s="49" t="n"/>
      <c r="I297" s="48" t="n"/>
      <c r="J297" s="49" t="n"/>
      <c r="K297" s="49" t="n"/>
      <c r="L297" s="49" t="n"/>
      <c r="M297" s="51" t="n"/>
      <c r="N297" s="48" t="n"/>
    </row>
    <row r="298">
      <c r="A298" s="42" t="n"/>
      <c r="B298" s="34" t="n"/>
      <c r="C298" s="34" t="n"/>
      <c r="D298" s="34" t="n"/>
      <c r="E298" s="34" t="n"/>
      <c r="F298" s="34" t="n"/>
      <c r="G298" s="34" t="n"/>
      <c r="H298" s="49" t="n"/>
      <c r="I298" s="48" t="n"/>
      <c r="J298" s="49" t="n"/>
      <c r="K298" s="49" t="n"/>
      <c r="L298" s="49" t="n"/>
      <c r="M298" s="51" t="n"/>
      <c r="N298" s="48" t="n"/>
    </row>
    <row r="299">
      <c r="A299" s="42" t="n"/>
      <c r="B299" s="34" t="n"/>
      <c r="C299" s="34" t="n"/>
      <c r="D299" s="34" t="n"/>
      <c r="E299" s="34" t="n"/>
      <c r="F299" s="34" t="n"/>
      <c r="G299" s="34" t="n"/>
      <c r="H299" s="49" t="n"/>
      <c r="I299" s="48" t="n"/>
      <c r="J299" s="49" t="n"/>
      <c r="K299" s="49" t="n"/>
      <c r="L299" s="49" t="n"/>
      <c r="M299" s="51" t="n"/>
      <c r="N299" s="48" t="n"/>
    </row>
    <row r="300">
      <c r="A300" s="42" t="n"/>
      <c r="B300" s="34" t="n"/>
      <c r="C300" s="34" t="n"/>
      <c r="D300" s="34" t="n"/>
      <c r="E300" s="34" t="n"/>
      <c r="F300" s="34" t="n"/>
      <c r="G300" s="34" t="n"/>
      <c r="H300" s="49" t="n"/>
      <c r="I300" s="48" t="n"/>
      <c r="J300" s="49" t="n"/>
      <c r="K300" s="49" t="n"/>
      <c r="L300" s="49" t="n"/>
      <c r="M300" s="51" t="n"/>
      <c r="N300" s="48" t="n"/>
    </row>
    <row r="301">
      <c r="A301" s="42" t="n"/>
      <c r="B301" s="34" t="n"/>
      <c r="C301" s="34" t="n"/>
      <c r="D301" s="34" t="n"/>
      <c r="E301" s="34" t="n"/>
      <c r="F301" s="34" t="n"/>
      <c r="G301" s="34" t="n"/>
      <c r="H301" s="49" t="n"/>
      <c r="I301" s="48" t="n"/>
      <c r="J301" s="49" t="n"/>
      <c r="K301" s="49" t="n"/>
      <c r="L301" s="49" t="n"/>
      <c r="M301" s="51" t="n"/>
      <c r="N301" s="48" t="n"/>
    </row>
    <row r="302">
      <c r="A302" s="42" t="n"/>
      <c r="B302" s="34" t="n"/>
      <c r="C302" s="34" t="n"/>
      <c r="D302" s="34" t="n"/>
      <c r="E302" s="34" t="n"/>
      <c r="F302" s="34" t="n"/>
      <c r="G302" s="34" t="n"/>
      <c r="H302" s="49" t="n"/>
      <c r="I302" s="48" t="n"/>
      <c r="J302" s="49" t="n"/>
      <c r="K302" s="49" t="n"/>
      <c r="L302" s="49" t="n"/>
      <c r="M302" s="51" t="n"/>
      <c r="N302" s="48" t="n"/>
    </row>
    <row r="303">
      <c r="A303" s="42" t="n"/>
      <c r="B303" s="34" t="n"/>
      <c r="C303" s="34" t="n"/>
      <c r="D303" s="34" t="n"/>
      <c r="E303" s="34" t="n"/>
      <c r="F303" s="34" t="n"/>
      <c r="G303" s="34" t="n"/>
      <c r="H303" s="49" t="n"/>
      <c r="I303" s="48" t="n"/>
      <c r="J303" s="49" t="n"/>
      <c r="K303" s="49" t="n"/>
      <c r="L303" s="49" t="n"/>
      <c r="M303" s="51" t="n"/>
      <c r="N303" s="48" t="n"/>
    </row>
    <row r="304">
      <c r="A304" s="42" t="n"/>
      <c r="B304" s="34" t="n"/>
      <c r="C304" s="34" t="n"/>
      <c r="D304" s="34" t="n"/>
      <c r="E304" s="34" t="n"/>
      <c r="F304" s="34" t="n"/>
      <c r="G304" s="34" t="n"/>
      <c r="H304" s="49" t="n"/>
      <c r="I304" s="48" t="n"/>
      <c r="J304" s="49" t="n"/>
      <c r="K304" s="49" t="n"/>
      <c r="L304" s="49" t="n"/>
      <c r="M304" s="51" t="n"/>
      <c r="N304" s="48" t="n"/>
    </row>
    <row r="305">
      <c r="A305" s="42" t="n"/>
      <c r="B305" s="34" t="n"/>
      <c r="C305" s="34" t="n"/>
      <c r="D305" s="34" t="n"/>
      <c r="E305" s="34" t="n"/>
      <c r="F305" s="34" t="n"/>
      <c r="G305" s="34" t="n"/>
      <c r="H305" s="49" t="n"/>
      <c r="I305" s="48" t="n"/>
      <c r="J305" s="49" t="n"/>
      <c r="K305" s="49" t="n"/>
      <c r="L305" s="49" t="n"/>
      <c r="M305" s="51" t="n"/>
      <c r="N305" s="48" t="n"/>
    </row>
    <row r="306">
      <c r="A306" s="42" t="n"/>
      <c r="B306" s="34" t="n"/>
      <c r="C306" s="34" t="n"/>
      <c r="D306" s="34" t="n"/>
      <c r="E306" s="34" t="n"/>
      <c r="F306" s="34" t="n"/>
      <c r="G306" s="34" t="n"/>
      <c r="H306" s="49" t="n"/>
      <c r="I306" s="48" t="n"/>
      <c r="J306" s="49" t="n"/>
      <c r="K306" s="49" t="n"/>
      <c r="L306" s="49" t="n"/>
      <c r="M306" s="51" t="n"/>
      <c r="N306" s="48" t="n"/>
    </row>
    <row r="307">
      <c r="A307" s="42" t="n"/>
      <c r="B307" s="34" t="n"/>
      <c r="C307" s="34" t="n"/>
      <c r="D307" s="34" t="n"/>
      <c r="E307" s="34" t="n"/>
      <c r="F307" s="34" t="n"/>
      <c r="G307" s="34" t="n"/>
      <c r="H307" s="49" t="n"/>
      <c r="I307" s="48" t="n"/>
      <c r="J307" s="49" t="n"/>
      <c r="K307" s="49" t="n"/>
      <c r="L307" s="49" t="n"/>
      <c r="M307" s="51" t="n"/>
      <c r="N307" s="48" t="n"/>
    </row>
    <row r="308">
      <c r="A308" s="42" t="n"/>
      <c r="B308" s="34" t="n"/>
      <c r="C308" s="34" t="n"/>
      <c r="D308" s="34" t="n"/>
      <c r="E308" s="34" t="n"/>
      <c r="F308" s="34" t="n"/>
      <c r="G308" s="34" t="n"/>
      <c r="H308" s="49" t="n"/>
      <c r="I308" s="48" t="n"/>
      <c r="J308" s="49" t="n"/>
      <c r="K308" s="49" t="n"/>
      <c r="L308" s="49" t="n"/>
      <c r="M308" s="51" t="n"/>
      <c r="N308" s="48" t="n"/>
    </row>
    <row r="309">
      <c r="A309" s="42" t="n"/>
      <c r="B309" s="34" t="n"/>
      <c r="C309" s="34" t="n"/>
      <c r="D309" s="34" t="n"/>
      <c r="E309" s="34" t="n"/>
      <c r="F309" s="34" t="n"/>
      <c r="G309" s="34" t="n"/>
      <c r="H309" s="49" t="n"/>
      <c r="I309" s="48" t="n"/>
      <c r="J309" s="49" t="n"/>
      <c r="K309" s="49" t="n"/>
      <c r="L309" s="49" t="n"/>
      <c r="M309" s="51" t="n"/>
      <c r="N309" s="48" t="n"/>
    </row>
    <row r="310">
      <c r="A310" s="42" t="n"/>
      <c r="B310" s="34" t="n"/>
      <c r="C310" s="34" t="n"/>
      <c r="D310" s="34" t="n"/>
      <c r="E310" s="34" t="n"/>
      <c r="F310" s="34" t="n"/>
      <c r="G310" s="34" t="n"/>
      <c r="H310" s="49" t="n"/>
      <c r="I310" s="48" t="n"/>
      <c r="J310" s="49" t="n"/>
      <c r="K310" s="49" t="n"/>
      <c r="L310" s="49" t="n"/>
      <c r="M310" s="51" t="n"/>
      <c r="N310" s="48" t="n"/>
    </row>
    <row r="311">
      <c r="A311" s="42" t="n"/>
      <c r="B311" s="34" t="n"/>
      <c r="C311" s="34" t="n"/>
      <c r="D311" s="34" t="n"/>
      <c r="E311" s="34" t="n"/>
      <c r="F311" s="34" t="n"/>
      <c r="G311" s="34" t="n"/>
      <c r="H311" s="49" t="n"/>
      <c r="I311" s="48" t="n"/>
      <c r="J311" s="49" t="n"/>
      <c r="K311" s="49" t="n"/>
      <c r="L311" s="49" t="n"/>
      <c r="M311" s="51" t="n"/>
      <c r="N311" s="48" t="n"/>
    </row>
    <row r="312">
      <c r="A312" s="42" t="n"/>
      <c r="B312" s="34" t="n"/>
      <c r="C312" s="34" t="n"/>
      <c r="D312" s="34" t="n"/>
      <c r="E312" s="34" t="n"/>
      <c r="F312" s="34" t="n"/>
      <c r="G312" s="34" t="n"/>
      <c r="H312" s="49" t="n"/>
      <c r="I312" s="48" t="n"/>
      <c r="J312" s="49" t="n"/>
      <c r="K312" s="49" t="n"/>
      <c r="L312" s="49" t="n"/>
      <c r="M312" s="51" t="n"/>
      <c r="N312" s="48" t="n"/>
    </row>
    <row r="313">
      <c r="A313" s="42" t="n"/>
      <c r="B313" s="34" t="n"/>
      <c r="C313" s="34" t="n"/>
      <c r="D313" s="34" t="n"/>
      <c r="E313" s="34" t="n"/>
      <c r="F313" s="34" t="n"/>
      <c r="G313" s="34" t="n"/>
      <c r="H313" s="49" t="n"/>
      <c r="I313" s="48" t="n"/>
      <c r="J313" s="49" t="n"/>
      <c r="K313" s="49" t="n"/>
      <c r="L313" s="49" t="n"/>
      <c r="M313" s="51" t="n"/>
      <c r="N313" s="48" t="n"/>
    </row>
    <row r="314">
      <c r="A314" s="42" t="n"/>
      <c r="B314" s="34" t="n"/>
      <c r="C314" s="34" t="n"/>
      <c r="D314" s="34" t="n"/>
      <c r="E314" s="34" t="n"/>
      <c r="F314" s="34" t="n"/>
      <c r="G314" s="34" t="n"/>
      <c r="H314" s="49" t="n"/>
      <c r="I314" s="48" t="n"/>
      <c r="J314" s="49" t="n"/>
      <c r="K314" s="49" t="n"/>
      <c r="L314" s="49" t="n"/>
      <c r="M314" s="51" t="n"/>
      <c r="N314" s="48" t="n"/>
    </row>
    <row r="315">
      <c r="A315" s="42" t="n"/>
      <c r="B315" s="34" t="n"/>
      <c r="C315" s="34" t="n"/>
      <c r="D315" s="34" t="n"/>
      <c r="E315" s="34" t="n"/>
      <c r="F315" s="34" t="n"/>
      <c r="G315" s="34" t="n"/>
      <c r="H315" s="49" t="n"/>
      <c r="I315" s="48" t="n"/>
      <c r="J315" s="49" t="n"/>
      <c r="K315" s="49" t="n"/>
      <c r="L315" s="49" t="n"/>
      <c r="M315" s="51" t="n"/>
      <c r="N315" s="48" t="n"/>
    </row>
    <row r="316">
      <c r="A316" s="42" t="n"/>
      <c r="B316" s="34" t="n"/>
      <c r="C316" s="34" t="n"/>
      <c r="D316" s="34" t="n"/>
      <c r="E316" s="34" t="n"/>
      <c r="F316" s="34" t="n"/>
      <c r="G316" s="34" t="n"/>
      <c r="H316" s="49" t="n"/>
      <c r="I316" s="48" t="n"/>
      <c r="J316" s="49" t="n"/>
      <c r="K316" s="49" t="n"/>
      <c r="L316" s="49" t="n"/>
      <c r="M316" s="51" t="n"/>
      <c r="N316" s="48" t="n"/>
    </row>
    <row r="317">
      <c r="A317" s="42" t="n"/>
      <c r="B317" s="34" t="n"/>
      <c r="C317" s="34" t="n"/>
      <c r="D317" s="34" t="n"/>
      <c r="E317" s="34" t="n"/>
      <c r="F317" s="34" t="n"/>
      <c r="G317" s="34" t="n"/>
      <c r="H317" s="49" t="n"/>
      <c r="I317" s="48" t="n"/>
      <c r="J317" s="49" t="n"/>
      <c r="K317" s="49" t="n"/>
      <c r="L317" s="49" t="n"/>
      <c r="M317" s="51" t="n"/>
      <c r="N317" s="48" t="n"/>
    </row>
    <row r="318">
      <c r="A318" s="42" t="n"/>
      <c r="B318" s="34" t="n"/>
      <c r="C318" s="34" t="n"/>
      <c r="D318" s="34" t="n"/>
      <c r="E318" s="34" t="n"/>
      <c r="F318" s="34" t="n"/>
      <c r="G318" s="34" t="n"/>
      <c r="H318" s="49" t="n"/>
      <c r="I318" s="48" t="n"/>
      <c r="J318" s="49" t="n"/>
      <c r="K318" s="49" t="n"/>
      <c r="L318" s="49" t="n"/>
      <c r="M318" s="51" t="n"/>
      <c r="N318" s="48" t="n"/>
    </row>
    <row r="319">
      <c r="A319" s="42" t="n"/>
      <c r="B319" s="34" t="n"/>
      <c r="C319" s="34" t="n"/>
      <c r="D319" s="34" t="n"/>
      <c r="E319" s="34" t="n"/>
      <c r="F319" s="34" t="n"/>
      <c r="G319" s="34" t="n"/>
      <c r="H319" s="49" t="n"/>
      <c r="I319" s="48" t="n"/>
      <c r="J319" s="49" t="n"/>
      <c r="K319" s="49" t="n"/>
      <c r="L319" s="49" t="n"/>
      <c r="M319" s="51" t="n"/>
      <c r="N319" s="48" t="n"/>
    </row>
    <row r="320">
      <c r="A320" s="42" t="n"/>
      <c r="B320" s="34" t="n"/>
      <c r="C320" s="34" t="n"/>
      <c r="D320" s="34" t="n"/>
      <c r="E320" s="34" t="n"/>
      <c r="F320" s="34" t="n"/>
      <c r="G320" s="34" t="n"/>
      <c r="H320" s="49" t="n"/>
      <c r="I320" s="48" t="n"/>
      <c r="J320" s="49" t="n"/>
      <c r="K320" s="49" t="n"/>
      <c r="L320" s="49" t="n"/>
      <c r="M320" s="51" t="n"/>
      <c r="N320" s="48" t="n"/>
    </row>
    <row r="321">
      <c r="A321" s="42" t="n"/>
      <c r="B321" s="34" t="n"/>
      <c r="C321" s="34" t="n"/>
      <c r="D321" s="34" t="n"/>
      <c r="E321" s="34" t="n"/>
      <c r="F321" s="34" t="n"/>
      <c r="G321" s="34" t="n"/>
      <c r="H321" s="49" t="n"/>
      <c r="I321" s="48" t="n"/>
      <c r="J321" s="49" t="n"/>
      <c r="K321" s="49" t="n"/>
      <c r="L321" s="49" t="n"/>
      <c r="M321" s="51" t="n"/>
      <c r="N321" s="48" t="n"/>
    </row>
    <row r="322">
      <c r="A322" s="42" t="n"/>
      <c r="B322" s="34" t="n"/>
      <c r="C322" s="34" t="n"/>
      <c r="D322" s="34" t="n"/>
      <c r="E322" s="34" t="n"/>
      <c r="F322" s="34" t="n"/>
      <c r="G322" s="34" t="n"/>
      <c r="H322" s="49" t="n"/>
      <c r="I322" s="48" t="n"/>
      <c r="J322" s="49" t="n"/>
      <c r="K322" s="49" t="n"/>
      <c r="L322" s="49" t="n"/>
      <c r="M322" s="51" t="n"/>
      <c r="N322" s="48" t="n"/>
    </row>
    <row r="323">
      <c r="A323" s="42" t="n"/>
      <c r="B323" s="34" t="n"/>
      <c r="C323" s="34" t="n"/>
      <c r="D323" s="34" t="n"/>
      <c r="E323" s="34" t="n"/>
      <c r="F323" s="34" t="n"/>
      <c r="G323" s="34" t="n"/>
      <c r="H323" s="49" t="n"/>
      <c r="I323" s="48" t="n"/>
      <c r="J323" s="49" t="n"/>
      <c r="K323" s="49" t="n"/>
      <c r="L323" s="49" t="n"/>
      <c r="M323" s="51" t="n"/>
      <c r="N323" s="48" t="n"/>
    </row>
    <row r="324">
      <c r="A324" s="42" t="n"/>
      <c r="B324" s="34" t="n"/>
      <c r="C324" s="34" t="n"/>
      <c r="D324" s="34" t="n"/>
      <c r="E324" s="34" t="n"/>
      <c r="F324" s="34" t="n"/>
      <c r="G324" s="34" t="n"/>
      <c r="H324" s="49" t="n"/>
      <c r="I324" s="48" t="n"/>
      <c r="J324" s="49" t="n"/>
      <c r="K324" s="49" t="n"/>
      <c r="L324" s="49" t="n"/>
      <c r="M324" s="51" t="n"/>
      <c r="N324" s="48" t="n"/>
    </row>
    <row r="325">
      <c r="A325" s="42" t="n"/>
      <c r="B325" s="34" t="n"/>
      <c r="C325" s="34" t="n"/>
      <c r="D325" s="34" t="n"/>
      <c r="E325" s="34" t="n"/>
      <c r="F325" s="34" t="n"/>
      <c r="G325" s="34" t="n"/>
      <c r="H325" s="49" t="n"/>
      <c r="I325" s="48" t="n"/>
      <c r="J325" s="49" t="n"/>
      <c r="K325" s="49" t="n"/>
      <c r="L325" s="49" t="n"/>
      <c r="M325" s="51" t="n"/>
      <c r="N325" s="48" t="n"/>
    </row>
    <row r="326">
      <c r="A326" s="42" t="n"/>
      <c r="B326" s="34" t="n"/>
      <c r="C326" s="34" t="n"/>
      <c r="D326" s="34" t="n"/>
      <c r="E326" s="34" t="n"/>
      <c r="F326" s="34" t="n"/>
      <c r="G326" s="34" t="n"/>
      <c r="H326" s="49" t="n"/>
      <c r="I326" s="48" t="n"/>
      <c r="J326" s="49" t="n"/>
      <c r="K326" s="49" t="n"/>
      <c r="L326" s="49" t="n"/>
      <c r="M326" s="51" t="n"/>
      <c r="N326" s="48" t="n"/>
    </row>
    <row r="327">
      <c r="A327" s="42" t="n"/>
      <c r="B327" s="34" t="n"/>
      <c r="C327" s="34" t="n"/>
      <c r="D327" s="34" t="n"/>
      <c r="E327" s="34" t="n"/>
      <c r="F327" s="34" t="n"/>
      <c r="G327" s="34" t="n"/>
      <c r="H327" s="49" t="n"/>
      <c r="I327" s="48" t="n"/>
      <c r="J327" s="49" t="n"/>
      <c r="K327" s="49" t="n"/>
      <c r="L327" s="49" t="n"/>
      <c r="M327" s="51" t="n"/>
      <c r="N327" s="48" t="n"/>
    </row>
    <row r="328">
      <c r="A328" s="42" t="n"/>
      <c r="B328" s="34" t="n"/>
      <c r="C328" s="34" t="n"/>
      <c r="D328" s="34" t="n"/>
      <c r="E328" s="34" t="n"/>
      <c r="F328" s="34" t="n"/>
      <c r="G328" s="34" t="n"/>
      <c r="H328" s="49" t="n"/>
      <c r="I328" s="48" t="n"/>
      <c r="J328" s="49" t="n"/>
      <c r="K328" s="49" t="n"/>
      <c r="L328" s="49" t="n"/>
      <c r="M328" s="51" t="n"/>
      <c r="N328" s="48" t="n"/>
    </row>
    <row r="329">
      <c r="A329" s="42" t="n"/>
      <c r="B329" s="34" t="n"/>
      <c r="C329" s="34" t="n"/>
      <c r="D329" s="34" t="n"/>
      <c r="E329" s="34" t="n"/>
      <c r="F329" s="34" t="n"/>
      <c r="G329" s="34" t="n"/>
      <c r="H329" s="49" t="n"/>
      <c r="I329" s="48" t="n"/>
      <c r="J329" s="49" t="n"/>
      <c r="K329" s="49" t="n"/>
      <c r="L329" s="49" t="n"/>
      <c r="M329" s="51" t="n"/>
      <c r="N329" s="48" t="n"/>
    </row>
    <row r="330">
      <c r="A330" s="42" t="n"/>
      <c r="B330" s="34" t="n"/>
      <c r="C330" s="34" t="n"/>
      <c r="D330" s="34" t="n"/>
      <c r="E330" s="34" t="n"/>
      <c r="F330" s="34" t="n"/>
      <c r="G330" s="34" t="n"/>
      <c r="H330" s="49" t="n"/>
      <c r="I330" s="48" t="n"/>
      <c r="J330" s="49" t="n"/>
      <c r="K330" s="49" t="n"/>
      <c r="L330" s="49" t="n"/>
      <c r="M330" s="51" t="n"/>
      <c r="N330" s="48" t="n"/>
    </row>
    <row r="331">
      <c r="A331" s="42" t="n"/>
      <c r="B331" s="34" t="n"/>
      <c r="C331" s="34" t="n"/>
      <c r="D331" s="34" t="n"/>
      <c r="E331" s="34" t="n"/>
      <c r="F331" s="34" t="n"/>
      <c r="G331" s="34" t="n"/>
      <c r="H331" s="49" t="n"/>
      <c r="I331" s="48" t="n"/>
      <c r="J331" s="49" t="n"/>
      <c r="K331" s="49" t="n"/>
      <c r="L331" s="49" t="n"/>
      <c r="M331" s="51" t="n"/>
      <c r="N331" s="48" t="n"/>
    </row>
    <row r="332">
      <c r="A332" s="42" t="n"/>
      <c r="B332" s="34" t="n"/>
      <c r="C332" s="34" t="n"/>
      <c r="D332" s="34" t="n"/>
      <c r="E332" s="34" t="n"/>
      <c r="F332" s="34" t="n"/>
      <c r="G332" s="34" t="n"/>
      <c r="H332" s="49" t="n"/>
      <c r="I332" s="48" t="n"/>
      <c r="J332" s="49" t="n"/>
      <c r="K332" s="49" t="n"/>
      <c r="L332" s="49" t="n"/>
      <c r="M332" s="51" t="n"/>
      <c r="N332" s="48" t="n"/>
    </row>
    <row r="333">
      <c r="A333" s="42" t="n"/>
      <c r="B333" s="34" t="n"/>
      <c r="C333" s="34" t="n"/>
      <c r="D333" s="34" t="n"/>
      <c r="E333" s="34" t="n"/>
      <c r="F333" s="34" t="n"/>
      <c r="G333" s="34" t="n"/>
      <c r="H333" s="49" t="n"/>
      <c r="I333" s="48" t="n"/>
      <c r="J333" s="49" t="n"/>
      <c r="K333" s="49" t="n"/>
      <c r="L333" s="49" t="n"/>
      <c r="M333" s="51" t="n"/>
      <c r="N333" s="48" t="n"/>
    </row>
    <row r="334">
      <c r="A334" s="42" t="n"/>
      <c r="B334" s="34" t="n"/>
      <c r="C334" s="34" t="n"/>
      <c r="D334" s="34" t="n"/>
      <c r="E334" s="34" t="n"/>
      <c r="F334" s="34" t="n"/>
      <c r="G334" s="34" t="n"/>
      <c r="H334" s="49" t="n"/>
      <c r="I334" s="48" t="n"/>
      <c r="J334" s="49" t="n"/>
      <c r="K334" s="49" t="n"/>
      <c r="L334" s="49" t="n"/>
      <c r="M334" s="51" t="n"/>
      <c r="N334" s="48" t="n"/>
    </row>
    <row r="335">
      <c r="A335" s="42" t="n"/>
      <c r="B335" s="34" t="n"/>
      <c r="C335" s="34" t="n"/>
      <c r="D335" s="34" t="n"/>
      <c r="E335" s="34" t="n"/>
      <c r="F335" s="34" t="n"/>
      <c r="G335" s="34" t="n"/>
      <c r="H335" s="49" t="n"/>
      <c r="I335" s="48" t="n"/>
      <c r="J335" s="49" t="n"/>
      <c r="K335" s="49" t="n"/>
      <c r="L335" s="49" t="n"/>
      <c r="M335" s="51" t="n"/>
      <c r="N335" s="48" t="n"/>
    </row>
    <row r="336">
      <c r="A336" s="42" t="n"/>
      <c r="B336" s="34" t="n"/>
      <c r="C336" s="34" t="n"/>
      <c r="D336" s="34" t="n"/>
      <c r="E336" s="34" t="n"/>
      <c r="F336" s="34" t="n"/>
      <c r="G336" s="34" t="n"/>
      <c r="H336" s="49" t="n"/>
      <c r="I336" s="48" t="n"/>
      <c r="J336" s="49" t="n"/>
      <c r="K336" s="49" t="n"/>
      <c r="L336" s="49" t="n"/>
      <c r="M336" s="51" t="n"/>
      <c r="N336" s="48" t="n"/>
    </row>
    <row r="337">
      <c r="A337" s="42" t="n"/>
      <c r="B337" s="34" t="n"/>
      <c r="C337" s="34" t="n"/>
      <c r="D337" s="34" t="n"/>
      <c r="E337" s="34" t="n"/>
      <c r="F337" s="34" t="n"/>
      <c r="G337" s="34" t="n"/>
      <c r="H337" s="49" t="n"/>
      <c r="I337" s="48" t="n"/>
      <c r="J337" s="49" t="n"/>
      <c r="K337" s="49" t="n"/>
      <c r="L337" s="49" t="n"/>
      <c r="M337" s="51" t="n"/>
      <c r="N337" s="48" t="n"/>
    </row>
    <row r="338">
      <c r="A338" s="42" t="n"/>
      <c r="B338" s="34" t="n"/>
      <c r="C338" s="34" t="n"/>
      <c r="D338" s="34" t="n"/>
      <c r="E338" s="34" t="n"/>
      <c r="F338" s="34" t="n"/>
      <c r="G338" s="34" t="n"/>
      <c r="H338" s="49" t="n"/>
      <c r="I338" s="48" t="n"/>
      <c r="J338" s="49" t="n"/>
      <c r="K338" s="49" t="n"/>
      <c r="L338" s="49" t="n"/>
      <c r="M338" s="51" t="n"/>
      <c r="N338" s="48" t="n"/>
    </row>
    <row r="339">
      <c r="A339" s="42" t="n"/>
      <c r="B339" s="34" t="n"/>
      <c r="C339" s="34" t="n"/>
      <c r="D339" s="34" t="n"/>
      <c r="E339" s="34" t="n"/>
      <c r="F339" s="34" t="n"/>
      <c r="G339" s="34" t="n"/>
      <c r="H339" s="49" t="n"/>
      <c r="I339" s="48" t="n"/>
      <c r="J339" s="49" t="n"/>
      <c r="K339" s="49" t="n"/>
      <c r="L339" s="49" t="n"/>
      <c r="M339" s="51" t="n"/>
      <c r="N339" s="48" t="n"/>
    </row>
    <row r="340">
      <c r="A340" s="42" t="n"/>
      <c r="B340" s="34" t="n"/>
      <c r="C340" s="34" t="n"/>
      <c r="D340" s="34" t="n"/>
      <c r="E340" s="34" t="n"/>
      <c r="F340" s="34" t="n"/>
      <c r="G340" s="34" t="n"/>
      <c r="H340" s="49" t="n"/>
      <c r="I340" s="48" t="n"/>
      <c r="J340" s="49" t="n"/>
      <c r="K340" s="49" t="n"/>
      <c r="L340" s="49" t="n"/>
      <c r="M340" s="51" t="n"/>
      <c r="N340" s="48" t="n"/>
    </row>
    <row r="341">
      <c r="A341" s="42" t="n"/>
      <c r="B341" s="34" t="n"/>
      <c r="C341" s="34" t="n"/>
      <c r="D341" s="34" t="n"/>
      <c r="E341" s="34" t="n"/>
      <c r="F341" s="34" t="n"/>
      <c r="G341" s="34" t="n"/>
      <c r="H341" s="49" t="n"/>
      <c r="I341" s="48" t="n"/>
      <c r="J341" s="49" t="n"/>
      <c r="K341" s="49" t="n"/>
      <c r="L341" s="49" t="n"/>
      <c r="M341" s="51" t="n"/>
      <c r="N341" s="48" t="n"/>
    </row>
    <row r="342">
      <c r="A342" s="42" t="n"/>
      <c r="B342" s="34" t="n"/>
      <c r="C342" s="34" t="n"/>
      <c r="D342" s="34" t="n"/>
      <c r="E342" s="34" t="n"/>
      <c r="F342" s="34" t="n"/>
      <c r="G342" s="34" t="n"/>
      <c r="H342" s="49" t="n"/>
      <c r="I342" s="48" t="n"/>
      <c r="J342" s="49" t="n"/>
      <c r="K342" s="49" t="n"/>
      <c r="L342" s="49" t="n"/>
      <c r="M342" s="51" t="n"/>
      <c r="N342" s="48" t="n"/>
    </row>
    <row r="343">
      <c r="A343" s="42" t="n"/>
      <c r="B343" s="34" t="n"/>
      <c r="C343" s="34" t="n"/>
      <c r="D343" s="34" t="n"/>
      <c r="E343" s="34" t="n"/>
      <c r="F343" s="34" t="n"/>
      <c r="G343" s="34" t="n"/>
      <c r="H343" s="49" t="n"/>
      <c r="I343" s="48" t="n"/>
      <c r="J343" s="49" t="n"/>
      <c r="K343" s="49" t="n"/>
      <c r="L343" s="49" t="n"/>
      <c r="M343" s="51" t="n"/>
      <c r="N343" s="48" t="n"/>
    </row>
    <row r="344">
      <c r="A344" s="42" t="n"/>
      <c r="B344" s="34" t="n"/>
      <c r="C344" s="34" t="n"/>
      <c r="D344" s="34" t="n"/>
      <c r="E344" s="34" t="n"/>
      <c r="F344" s="34" t="n"/>
      <c r="G344" s="34" t="n"/>
      <c r="H344" s="49" t="n"/>
      <c r="I344" s="48" t="n"/>
      <c r="J344" s="49" t="n"/>
      <c r="K344" s="49" t="n"/>
      <c r="L344" s="49" t="n"/>
      <c r="M344" s="51" t="n"/>
      <c r="N344" s="48" t="n"/>
    </row>
    <row r="345">
      <c r="A345" s="42" t="n"/>
      <c r="B345" s="34" t="n"/>
      <c r="C345" s="34" t="n"/>
      <c r="D345" s="34" t="n"/>
      <c r="E345" s="34" t="n"/>
      <c r="F345" s="34" t="n"/>
      <c r="G345" s="34" t="n"/>
      <c r="H345" s="49" t="n"/>
      <c r="I345" s="48" t="n"/>
      <c r="J345" s="49" t="n"/>
      <c r="K345" s="49" t="n"/>
      <c r="L345" s="49" t="n"/>
      <c r="M345" s="51" t="n"/>
      <c r="N345" s="48" t="n"/>
    </row>
    <row r="346">
      <c r="A346" s="42" t="n"/>
      <c r="B346" s="34" t="n"/>
      <c r="C346" s="34" t="n"/>
      <c r="D346" s="34" t="n"/>
      <c r="E346" s="34" t="n"/>
      <c r="F346" s="34" t="n"/>
      <c r="G346" s="34" t="n"/>
      <c r="H346" s="49" t="n"/>
      <c r="I346" s="48" t="n"/>
      <c r="J346" s="49" t="n"/>
      <c r="K346" s="49" t="n"/>
      <c r="L346" s="49" t="n"/>
      <c r="M346" s="51" t="n"/>
      <c r="N346" s="48" t="n"/>
    </row>
    <row r="347">
      <c r="A347" s="42" t="n"/>
      <c r="B347" s="34" t="n"/>
      <c r="C347" s="34" t="n"/>
      <c r="D347" s="34" t="n"/>
      <c r="E347" s="34" t="n"/>
      <c r="F347" s="34" t="n"/>
      <c r="G347" s="34" t="n"/>
      <c r="H347" s="49" t="n"/>
      <c r="I347" s="48" t="n"/>
      <c r="J347" s="49" t="n"/>
      <c r="K347" s="49" t="n"/>
      <c r="L347" s="49" t="n"/>
      <c r="M347" s="51" t="n"/>
      <c r="N347" s="48" t="n"/>
    </row>
    <row r="348">
      <c r="A348" s="42" t="n"/>
      <c r="B348" s="34" t="n"/>
      <c r="C348" s="34" t="n"/>
      <c r="D348" s="34" t="n"/>
      <c r="E348" s="34" t="n"/>
      <c r="F348" s="34" t="n"/>
      <c r="G348" s="34" t="n"/>
      <c r="H348" s="49" t="n"/>
      <c r="I348" s="48" t="n"/>
      <c r="J348" s="49" t="n"/>
      <c r="K348" s="49" t="n"/>
      <c r="L348" s="49" t="n"/>
      <c r="M348" s="51" t="n"/>
      <c r="N348" s="48" t="n"/>
    </row>
    <row r="349">
      <c r="A349" s="42" t="n"/>
      <c r="B349" s="34" t="n"/>
      <c r="C349" s="34" t="n"/>
      <c r="D349" s="34" t="n"/>
      <c r="E349" s="34" t="n"/>
      <c r="F349" s="34" t="n"/>
      <c r="G349" s="34" t="n"/>
      <c r="H349" s="49" t="n"/>
      <c r="I349" s="48" t="n"/>
      <c r="J349" s="49" t="n"/>
      <c r="K349" s="49" t="n"/>
      <c r="L349" s="49" t="n"/>
      <c r="M349" s="51" t="n"/>
      <c r="N349" s="48" t="n"/>
    </row>
    <row r="350">
      <c r="A350" s="42" t="n"/>
      <c r="B350" s="34" t="n"/>
      <c r="C350" s="34" t="n"/>
      <c r="D350" s="34" t="n"/>
      <c r="E350" s="34" t="n"/>
      <c r="F350" s="34" t="n"/>
      <c r="G350" s="34" t="n"/>
      <c r="H350" s="49" t="n"/>
      <c r="I350" s="48" t="n"/>
      <c r="J350" s="49" t="n"/>
      <c r="K350" s="49" t="n"/>
      <c r="L350" s="49" t="n"/>
      <c r="M350" s="51" t="n"/>
      <c r="N350" s="48" t="n"/>
    </row>
    <row r="351">
      <c r="A351" s="42" t="n"/>
      <c r="B351" s="34" t="n"/>
      <c r="C351" s="34" t="n"/>
      <c r="D351" s="34" t="n"/>
      <c r="E351" s="34" t="n"/>
      <c r="F351" s="34" t="n"/>
      <c r="G351" s="34" t="n"/>
      <c r="H351" s="49" t="n"/>
      <c r="I351" s="48" t="n"/>
      <c r="J351" s="49" t="n"/>
      <c r="K351" s="49" t="n"/>
      <c r="L351" s="49" t="n"/>
      <c r="M351" s="51" t="n"/>
      <c r="N351" s="48" t="n"/>
    </row>
    <row r="352">
      <c r="A352" s="42" t="n"/>
      <c r="B352" s="34" t="n"/>
      <c r="C352" s="34" t="n"/>
      <c r="D352" s="34" t="n"/>
      <c r="E352" s="34" t="n"/>
      <c r="F352" s="34" t="n"/>
      <c r="G352" s="34" t="n"/>
      <c r="H352" s="49" t="n"/>
      <c r="I352" s="48" t="n"/>
      <c r="J352" s="49" t="n"/>
      <c r="K352" s="49" t="n"/>
      <c r="L352" s="49" t="n"/>
      <c r="M352" s="51" t="n"/>
      <c r="N352" s="48" t="n"/>
    </row>
    <row r="353">
      <c r="A353" s="42" t="n"/>
      <c r="B353" s="34" t="n"/>
      <c r="C353" s="34" t="n"/>
      <c r="D353" s="34" t="n"/>
      <c r="E353" s="34" t="n"/>
      <c r="F353" s="34" t="n"/>
      <c r="G353" s="34" t="n"/>
      <c r="H353" s="49" t="n"/>
      <c r="I353" s="48" t="n"/>
      <c r="J353" s="49" t="n"/>
      <c r="K353" s="49" t="n"/>
      <c r="L353" s="49" t="n"/>
      <c r="M353" s="51" t="n"/>
      <c r="N353" s="48" t="n"/>
    </row>
    <row r="354">
      <c r="A354" s="42" t="n"/>
      <c r="B354" s="34" t="n"/>
      <c r="C354" s="34" t="n"/>
      <c r="D354" s="34" t="n"/>
      <c r="E354" s="34" t="n"/>
      <c r="F354" s="34" t="n"/>
      <c r="G354" s="34" t="n"/>
      <c r="H354" s="49" t="n"/>
      <c r="I354" s="48" t="n"/>
      <c r="J354" s="49" t="n"/>
      <c r="K354" s="49" t="n"/>
      <c r="L354" s="49" t="n"/>
      <c r="M354" s="51" t="n"/>
      <c r="N354" s="48" t="n"/>
    </row>
    <row r="355">
      <c r="A355" s="42" t="n"/>
      <c r="B355" s="34" t="n"/>
      <c r="C355" s="34" t="n"/>
      <c r="D355" s="34" t="n"/>
      <c r="E355" s="34" t="n"/>
      <c r="F355" s="34" t="n"/>
      <c r="G355" s="34" t="n"/>
      <c r="H355" s="49" t="n"/>
      <c r="I355" s="48" t="n"/>
      <c r="J355" s="49" t="n"/>
      <c r="K355" s="49" t="n"/>
      <c r="L355" s="49" t="n"/>
      <c r="M355" s="51" t="n"/>
      <c r="N355" s="48" t="n"/>
    </row>
    <row r="356">
      <c r="A356" s="42" t="n"/>
      <c r="B356" s="34" t="n"/>
      <c r="C356" s="34" t="n"/>
      <c r="D356" s="34" t="n"/>
      <c r="E356" s="34" t="n"/>
      <c r="F356" s="34" t="n"/>
      <c r="G356" s="34" t="n"/>
      <c r="H356" s="49" t="n"/>
      <c r="I356" s="48" t="n"/>
      <c r="J356" s="49" t="n"/>
      <c r="K356" s="49" t="n"/>
      <c r="L356" s="49" t="n"/>
      <c r="M356" s="51" t="n"/>
      <c r="N356" s="48" t="n"/>
    </row>
    <row r="357">
      <c r="A357" s="42" t="n"/>
      <c r="B357" s="34" t="n"/>
      <c r="C357" s="34" t="n"/>
      <c r="D357" s="34" t="n"/>
      <c r="E357" s="34" t="n"/>
      <c r="F357" s="34" t="n"/>
      <c r="G357" s="34" t="n"/>
      <c r="H357" s="49" t="n"/>
      <c r="I357" s="48" t="n"/>
      <c r="J357" s="49" t="n"/>
      <c r="K357" s="49" t="n"/>
      <c r="L357" s="49" t="n"/>
      <c r="M357" s="51" t="n"/>
      <c r="N357" s="48" t="n"/>
    </row>
    <row r="358">
      <c r="A358" s="42" t="n"/>
      <c r="B358" s="34" t="n"/>
      <c r="C358" s="34" t="n"/>
      <c r="D358" s="34" t="n"/>
      <c r="E358" s="34" t="n"/>
      <c r="F358" s="34" t="n"/>
      <c r="G358" s="34" t="n"/>
      <c r="H358" s="49" t="n"/>
      <c r="I358" s="48" t="n"/>
      <c r="J358" s="49" t="n"/>
      <c r="K358" s="49" t="n"/>
      <c r="L358" s="49" t="n"/>
      <c r="M358" s="51" t="n"/>
      <c r="N358" s="48" t="n"/>
    </row>
    <row r="359">
      <c r="A359" s="42" t="n"/>
      <c r="B359" s="34" t="n"/>
      <c r="C359" s="34" t="n"/>
      <c r="D359" s="34" t="n"/>
      <c r="E359" s="34" t="n"/>
      <c r="F359" s="34" t="n"/>
      <c r="G359" s="34" t="n"/>
      <c r="H359" s="49" t="n"/>
      <c r="I359" s="48" t="n"/>
      <c r="J359" s="49" t="n"/>
      <c r="K359" s="49" t="n"/>
      <c r="L359" s="49" t="n"/>
      <c r="M359" s="51" t="n"/>
      <c r="N359" s="48" t="n"/>
    </row>
    <row r="360">
      <c r="A360" s="42" t="n"/>
      <c r="B360" s="34" t="n"/>
      <c r="C360" s="34" t="n"/>
      <c r="D360" s="34" t="n"/>
      <c r="E360" s="34" t="n"/>
      <c r="F360" s="34" t="n"/>
      <c r="G360" s="34" t="n"/>
      <c r="H360" s="49" t="n"/>
      <c r="I360" s="48" t="n"/>
      <c r="J360" s="49" t="n"/>
      <c r="K360" s="49" t="n"/>
      <c r="L360" s="49" t="n"/>
      <c r="M360" s="51" t="n"/>
      <c r="N360" s="48" t="n"/>
    </row>
    <row r="361">
      <c r="A361" s="42" t="n"/>
      <c r="B361" s="34" t="n"/>
      <c r="C361" s="34" t="n"/>
      <c r="D361" s="34" t="n"/>
      <c r="E361" s="34" t="n"/>
      <c r="F361" s="34" t="n"/>
      <c r="G361" s="34" t="n"/>
      <c r="H361" s="49" t="n"/>
      <c r="I361" s="48" t="n"/>
      <c r="J361" s="49" t="n"/>
      <c r="K361" s="49" t="n"/>
      <c r="L361" s="49" t="n"/>
      <c r="M361" s="51" t="n"/>
      <c r="N361" s="48" t="n"/>
    </row>
    <row r="362">
      <c r="A362" s="42" t="n"/>
      <c r="B362" s="34" t="n"/>
      <c r="C362" s="34" t="n"/>
      <c r="D362" s="34" t="n"/>
      <c r="E362" s="34" t="n"/>
      <c r="F362" s="34" t="n"/>
      <c r="G362" s="34" t="n"/>
      <c r="H362" s="49" t="n"/>
      <c r="I362" s="48" t="n"/>
      <c r="J362" s="49" t="n"/>
      <c r="K362" s="49" t="n"/>
      <c r="L362" s="49" t="n"/>
      <c r="M362" s="51" t="n"/>
      <c r="N362" s="48" t="n"/>
    </row>
    <row r="363">
      <c r="A363" s="42" t="n"/>
      <c r="B363" s="34" t="n"/>
      <c r="C363" s="34" t="n"/>
      <c r="D363" s="34" t="n"/>
      <c r="E363" s="34" t="n"/>
      <c r="F363" s="34" t="n"/>
      <c r="G363" s="34" t="n"/>
      <c r="H363" s="49" t="n"/>
      <c r="I363" s="48" t="n"/>
      <c r="J363" s="49" t="n"/>
      <c r="K363" s="49" t="n"/>
      <c r="L363" s="49" t="n"/>
      <c r="M363" s="51" t="n"/>
      <c r="N363" s="48" t="n"/>
    </row>
    <row r="364">
      <c r="A364" s="42" t="n"/>
      <c r="B364" s="34" t="n"/>
      <c r="C364" s="34" t="n"/>
      <c r="D364" s="34" t="n"/>
      <c r="E364" s="34" t="n"/>
      <c r="F364" s="34" t="n"/>
      <c r="G364" s="34" t="n"/>
      <c r="H364" s="49" t="n"/>
      <c r="I364" s="48" t="n"/>
      <c r="J364" s="49" t="n"/>
      <c r="K364" s="49" t="n"/>
      <c r="L364" s="49" t="n"/>
      <c r="M364" s="51" t="n"/>
      <c r="N364" s="48" t="n"/>
    </row>
    <row r="365">
      <c r="A365" s="42" t="n"/>
      <c r="B365" s="34" t="n"/>
      <c r="C365" s="34" t="n"/>
      <c r="D365" s="34" t="n"/>
      <c r="E365" s="34" t="n"/>
      <c r="F365" s="34" t="n"/>
      <c r="G365" s="34" t="n"/>
      <c r="H365" s="49" t="n"/>
      <c r="I365" s="48" t="n"/>
      <c r="J365" s="49" t="n"/>
      <c r="K365" s="49" t="n"/>
      <c r="L365" s="49" t="n"/>
      <c r="M365" s="51" t="n"/>
      <c r="N365" s="48" t="n"/>
    </row>
    <row r="366">
      <c r="A366" s="42" t="n"/>
      <c r="B366" s="34" t="n"/>
      <c r="C366" s="34" t="n"/>
      <c r="D366" s="34" t="n"/>
      <c r="E366" s="34" t="n"/>
      <c r="F366" s="34" t="n"/>
      <c r="G366" s="34" t="n"/>
      <c r="H366" s="49" t="n"/>
      <c r="I366" s="48" t="n"/>
      <c r="J366" s="49" t="n"/>
      <c r="K366" s="49" t="n"/>
      <c r="L366" s="49" t="n"/>
      <c r="M366" s="51" t="n"/>
      <c r="N366" s="48" t="n"/>
    </row>
    <row r="367">
      <c r="A367" s="42" t="n"/>
      <c r="B367" s="34" t="n"/>
      <c r="C367" s="34" t="n"/>
      <c r="D367" s="34" t="n"/>
      <c r="E367" s="34" t="n"/>
      <c r="F367" s="34" t="n"/>
      <c r="G367" s="34" t="n"/>
      <c r="H367" s="49" t="n"/>
      <c r="I367" s="48" t="n"/>
      <c r="J367" s="49" t="n"/>
      <c r="K367" s="49" t="n"/>
      <c r="L367" s="49" t="n"/>
      <c r="M367" s="51" t="n"/>
      <c r="N367" s="48" t="n"/>
    </row>
    <row r="368">
      <c r="A368" s="42" t="n"/>
      <c r="B368" s="34" t="n"/>
      <c r="C368" s="34" t="n"/>
      <c r="D368" s="34" t="n"/>
      <c r="E368" s="34" t="n"/>
      <c r="F368" s="34" t="n"/>
      <c r="G368" s="34" t="n"/>
      <c r="H368" s="49" t="n"/>
      <c r="I368" s="48" t="n"/>
      <c r="J368" s="49" t="n"/>
      <c r="K368" s="49" t="n"/>
      <c r="L368" s="49" t="n"/>
      <c r="M368" s="51" t="n"/>
      <c r="N368" s="48" t="n"/>
    </row>
    <row r="369">
      <c r="A369" s="42" t="n"/>
      <c r="B369" s="34" t="n"/>
      <c r="C369" s="34" t="n"/>
      <c r="D369" s="34" t="n"/>
      <c r="E369" s="34" t="n"/>
      <c r="F369" s="34" t="n"/>
      <c r="G369" s="34" t="n"/>
      <c r="H369" s="49" t="n"/>
      <c r="I369" s="48" t="n"/>
      <c r="J369" s="49" t="n"/>
      <c r="K369" s="49" t="n"/>
      <c r="L369" s="49" t="n"/>
      <c r="M369" s="51" t="n"/>
      <c r="N369" s="48" t="n"/>
    </row>
    <row r="370">
      <c r="A370" s="42" t="n"/>
      <c r="B370" s="34" t="n"/>
      <c r="C370" s="34" t="n"/>
      <c r="D370" s="34" t="n"/>
      <c r="E370" s="34" t="n"/>
      <c r="F370" s="34" t="n"/>
      <c r="G370" s="34" t="n"/>
      <c r="H370" s="49" t="n"/>
      <c r="I370" s="48" t="n"/>
      <c r="J370" s="49" t="n"/>
      <c r="K370" s="49" t="n"/>
      <c r="L370" s="49" t="n"/>
      <c r="M370" s="51" t="n"/>
      <c r="N370" s="48" t="n"/>
    </row>
    <row r="371">
      <c r="A371" s="42" t="n"/>
      <c r="B371" s="34" t="n"/>
      <c r="C371" s="34" t="n"/>
      <c r="D371" s="34" t="n"/>
      <c r="E371" s="34" t="n"/>
      <c r="F371" s="34" t="n"/>
      <c r="G371" s="34" t="n"/>
      <c r="H371" s="49" t="n"/>
      <c r="I371" s="48" t="n"/>
      <c r="J371" s="49" t="n"/>
      <c r="K371" s="49" t="n"/>
      <c r="L371" s="49" t="n"/>
      <c r="M371" s="51" t="n"/>
      <c r="N371" s="48" t="n"/>
    </row>
    <row r="372">
      <c r="A372" s="42" t="n"/>
      <c r="B372" s="34" t="n"/>
      <c r="C372" s="34" t="n"/>
      <c r="D372" s="34" t="n"/>
      <c r="E372" s="34" t="n"/>
      <c r="F372" s="34" t="n"/>
      <c r="G372" s="34" t="n"/>
      <c r="H372" s="49" t="n"/>
      <c r="I372" s="48" t="n"/>
      <c r="J372" s="49" t="n"/>
      <c r="K372" s="49" t="n"/>
      <c r="L372" s="49" t="n"/>
      <c r="M372" s="51" t="n"/>
      <c r="N372" s="48" t="n"/>
    </row>
    <row r="373">
      <c r="A373" s="42" t="n"/>
      <c r="B373" s="34" t="n"/>
      <c r="C373" s="34" t="n"/>
      <c r="D373" s="34" t="n"/>
      <c r="E373" s="34" t="n"/>
      <c r="F373" s="34" t="n"/>
      <c r="G373" s="34" t="n"/>
      <c r="H373" s="49" t="n"/>
      <c r="I373" s="48" t="n"/>
      <c r="J373" s="49" t="n"/>
      <c r="K373" s="49" t="n"/>
      <c r="L373" s="49" t="n"/>
      <c r="M373" s="51" t="n"/>
      <c r="N373" s="48" t="n"/>
    </row>
    <row r="374">
      <c r="A374" s="42" t="n"/>
      <c r="B374" s="34" t="n"/>
      <c r="C374" s="34" t="n"/>
      <c r="D374" s="34" t="n"/>
      <c r="E374" s="34" t="n"/>
      <c r="F374" s="34" t="n"/>
      <c r="G374" s="34" t="n"/>
      <c r="H374" s="49" t="n"/>
      <c r="I374" s="48" t="n"/>
      <c r="J374" s="49" t="n"/>
      <c r="K374" s="49" t="n"/>
      <c r="L374" s="49" t="n"/>
      <c r="M374" s="51" t="n"/>
      <c r="N374" s="48" t="n"/>
    </row>
    <row r="375">
      <c r="A375" s="42" t="n"/>
      <c r="B375" s="34" t="n"/>
      <c r="C375" s="34" t="n"/>
      <c r="D375" s="34" t="n"/>
      <c r="E375" s="34" t="n"/>
      <c r="F375" s="34" t="n"/>
      <c r="G375" s="34" t="n"/>
      <c r="H375" s="49" t="n"/>
      <c r="I375" s="48" t="n"/>
      <c r="J375" s="49" t="n"/>
      <c r="K375" s="49" t="n"/>
      <c r="L375" s="49" t="n"/>
      <c r="M375" s="51" t="n"/>
      <c r="N375" s="48" t="n"/>
    </row>
    <row r="376">
      <c r="A376" s="42" t="n"/>
      <c r="B376" s="34" t="n"/>
      <c r="C376" s="34" t="n"/>
      <c r="D376" s="34" t="n"/>
      <c r="E376" s="34" t="n"/>
      <c r="F376" s="34" t="n"/>
      <c r="G376" s="34" t="n"/>
      <c r="H376" s="49" t="n"/>
      <c r="I376" s="48" t="n"/>
      <c r="J376" s="49" t="n"/>
      <c r="K376" s="49" t="n"/>
      <c r="L376" s="49" t="n"/>
      <c r="M376" s="51" t="n"/>
      <c r="N376" s="48" t="n"/>
    </row>
    <row r="377">
      <c r="A377" s="42" t="n"/>
      <c r="B377" s="34" t="n"/>
      <c r="C377" s="34" t="n"/>
      <c r="D377" s="34" t="n"/>
      <c r="E377" s="34" t="n"/>
      <c r="F377" s="34" t="n"/>
      <c r="G377" s="34" t="n"/>
      <c r="H377" s="49" t="n"/>
      <c r="I377" s="48" t="n"/>
      <c r="J377" s="49" t="n"/>
      <c r="K377" s="49" t="n"/>
      <c r="L377" s="49" t="n"/>
      <c r="M377" s="51" t="n"/>
      <c r="N377" s="48" t="n"/>
    </row>
    <row r="378">
      <c r="A378" s="42" t="n"/>
      <c r="B378" s="34" t="n"/>
      <c r="C378" s="34" t="n"/>
      <c r="D378" s="34" t="n"/>
      <c r="E378" s="34" t="n"/>
      <c r="F378" s="34" t="n"/>
      <c r="G378" s="34" t="n"/>
      <c r="H378" s="49" t="n"/>
      <c r="I378" s="48" t="n"/>
      <c r="J378" s="49" t="n"/>
      <c r="K378" s="49" t="n"/>
      <c r="L378" s="49" t="n"/>
      <c r="M378" s="51" t="n"/>
      <c r="N378" s="48" t="n"/>
    </row>
    <row r="379">
      <c r="A379" s="42" t="n"/>
      <c r="B379" s="34" t="n"/>
      <c r="C379" s="34" t="n"/>
      <c r="D379" s="34" t="n"/>
      <c r="E379" s="34" t="n"/>
      <c r="F379" s="34" t="n"/>
      <c r="G379" s="34" t="n"/>
      <c r="H379" s="49" t="n"/>
      <c r="I379" s="48" t="n"/>
      <c r="J379" s="49" t="n"/>
      <c r="K379" s="49" t="n"/>
      <c r="L379" s="49" t="n"/>
      <c r="M379" s="51" t="n"/>
      <c r="N379" s="48" t="n"/>
    </row>
    <row r="380">
      <c r="A380" s="42" t="n"/>
      <c r="B380" s="34" t="n"/>
      <c r="C380" s="34" t="n"/>
      <c r="D380" s="34" t="n"/>
      <c r="E380" s="34" t="n"/>
      <c r="F380" s="34" t="n"/>
      <c r="G380" s="34" t="n"/>
      <c r="H380" s="49" t="n"/>
      <c r="I380" s="48" t="n"/>
      <c r="J380" s="49" t="n"/>
      <c r="K380" s="49" t="n"/>
      <c r="L380" s="49" t="n"/>
      <c r="M380" s="51" t="n"/>
      <c r="N380" s="48" t="n"/>
    </row>
    <row r="381">
      <c r="A381" s="42" t="n"/>
      <c r="B381" s="34" t="n"/>
      <c r="C381" s="34" t="n"/>
      <c r="D381" s="34" t="n"/>
      <c r="E381" s="34" t="n"/>
      <c r="F381" s="34" t="n"/>
      <c r="G381" s="34" t="n"/>
      <c r="H381" s="49" t="n"/>
      <c r="I381" s="48" t="n"/>
      <c r="J381" s="49" t="n"/>
      <c r="K381" s="49" t="n"/>
      <c r="L381" s="49" t="n"/>
      <c r="M381" s="51" t="n"/>
      <c r="N381" s="48" t="n"/>
    </row>
    <row r="382">
      <c r="A382" s="42" t="n"/>
      <c r="B382" s="34" t="n"/>
      <c r="C382" s="34" t="n"/>
      <c r="D382" s="34" t="n"/>
      <c r="E382" s="34" t="n"/>
      <c r="F382" s="34" t="n"/>
      <c r="G382" s="34" t="n"/>
      <c r="H382" s="49" t="n"/>
      <c r="I382" s="48" t="n"/>
      <c r="J382" s="49" t="n"/>
      <c r="K382" s="49" t="n"/>
      <c r="L382" s="49" t="n"/>
      <c r="M382" s="51" t="n"/>
      <c r="N382" s="48" t="n"/>
    </row>
    <row r="383">
      <c r="A383" s="42" t="n"/>
      <c r="B383" s="34" t="n"/>
      <c r="C383" s="34" t="n"/>
      <c r="D383" s="34" t="n"/>
      <c r="E383" s="34" t="n"/>
      <c r="F383" s="34" t="n"/>
      <c r="G383" s="34" t="n"/>
      <c r="H383" s="49" t="n"/>
      <c r="I383" s="48" t="n"/>
      <c r="J383" s="49" t="n"/>
      <c r="K383" s="49" t="n"/>
      <c r="L383" s="49" t="n"/>
      <c r="M383" s="51" t="n"/>
      <c r="N383" s="48" t="n"/>
    </row>
    <row r="384">
      <c r="A384" s="42" t="n"/>
      <c r="B384" s="34" t="n"/>
      <c r="C384" s="34" t="n"/>
      <c r="D384" s="34" t="n"/>
      <c r="E384" s="34" t="n"/>
      <c r="F384" s="34" t="n"/>
      <c r="G384" s="34" t="n"/>
      <c r="H384" s="49" t="n"/>
      <c r="I384" s="48" t="n"/>
      <c r="J384" s="49" t="n"/>
      <c r="K384" s="49" t="n"/>
      <c r="L384" s="49" t="n"/>
      <c r="M384" s="51" t="n"/>
      <c r="N384" s="48" t="n"/>
    </row>
    <row r="385">
      <c r="A385" s="42" t="n"/>
      <c r="B385" s="34" t="n"/>
      <c r="C385" s="34" t="n"/>
      <c r="D385" s="34" t="n"/>
      <c r="E385" s="34" t="n"/>
      <c r="F385" s="34" t="n"/>
      <c r="G385" s="34" t="n"/>
      <c r="H385" s="49" t="n"/>
      <c r="I385" s="48" t="n"/>
      <c r="J385" s="49" t="n"/>
      <c r="K385" s="49" t="n"/>
      <c r="L385" s="49" t="n"/>
      <c r="M385" s="51" t="n"/>
      <c r="N385" s="48" t="n"/>
    </row>
    <row r="386">
      <c r="A386" s="42" t="n"/>
      <c r="B386" s="34" t="n"/>
      <c r="C386" s="34" t="n"/>
      <c r="D386" s="34" t="n"/>
      <c r="E386" s="34" t="n"/>
      <c r="F386" s="34" t="n"/>
      <c r="G386" s="34" t="n"/>
      <c r="H386" s="49" t="n"/>
      <c r="I386" s="48" t="n"/>
      <c r="J386" s="49" t="n"/>
      <c r="K386" s="49" t="n"/>
      <c r="L386" s="49" t="n"/>
      <c r="M386" s="51" t="n"/>
      <c r="N386" s="48" t="n"/>
    </row>
    <row r="387">
      <c r="A387" s="42" t="n"/>
      <c r="B387" s="34" t="n"/>
      <c r="C387" s="34" t="n"/>
      <c r="D387" s="34" t="n"/>
      <c r="E387" s="34" t="n"/>
      <c r="F387" s="34" t="n"/>
      <c r="G387" s="34" t="n"/>
      <c r="H387" s="49" t="n"/>
      <c r="I387" s="48" t="n"/>
      <c r="J387" s="49" t="n"/>
      <c r="K387" s="49" t="n"/>
      <c r="L387" s="49" t="n"/>
      <c r="M387" s="51" t="n"/>
      <c r="N387" s="48" t="n"/>
    </row>
    <row r="388">
      <c r="A388" s="42" t="n"/>
      <c r="B388" s="34" t="n"/>
      <c r="C388" s="34" t="n"/>
      <c r="D388" s="34" t="n"/>
      <c r="E388" s="34" t="n"/>
      <c r="F388" s="34" t="n"/>
      <c r="G388" s="34" t="n"/>
      <c r="H388" s="49" t="n"/>
      <c r="I388" s="48" t="n"/>
      <c r="J388" s="49" t="n"/>
      <c r="K388" s="49" t="n"/>
      <c r="L388" s="49" t="n"/>
      <c r="M388" s="51" t="n"/>
      <c r="N388" s="48" t="n"/>
    </row>
    <row r="389">
      <c r="A389" s="42" t="n"/>
      <c r="B389" s="34" t="n"/>
      <c r="C389" s="34" t="n"/>
      <c r="D389" s="34" t="n"/>
      <c r="E389" s="34" t="n"/>
      <c r="F389" s="34" t="n"/>
      <c r="G389" s="34" t="n"/>
      <c r="H389" s="49" t="n"/>
      <c r="I389" s="48" t="n"/>
      <c r="J389" s="49" t="n"/>
      <c r="K389" s="49" t="n"/>
      <c r="L389" s="49" t="n"/>
      <c r="M389" s="51" t="n"/>
      <c r="N389" s="48" t="n"/>
    </row>
    <row r="390">
      <c r="A390" s="42" t="n"/>
      <c r="B390" s="34" t="n"/>
      <c r="C390" s="34" t="n"/>
      <c r="D390" s="34" t="n"/>
      <c r="E390" s="34" t="n"/>
      <c r="F390" s="34" t="n"/>
      <c r="G390" s="34" t="n"/>
      <c r="H390" s="49" t="n"/>
      <c r="I390" s="48" t="n"/>
      <c r="J390" s="49" t="n"/>
      <c r="K390" s="49" t="n"/>
      <c r="L390" s="49" t="n"/>
      <c r="M390" s="51" t="n"/>
      <c r="N390" s="48" t="n"/>
    </row>
    <row r="391">
      <c r="A391" s="42" t="n"/>
      <c r="B391" s="34" t="n"/>
      <c r="C391" s="34" t="n"/>
      <c r="D391" s="34" t="n"/>
      <c r="E391" s="34" t="n"/>
      <c r="F391" s="34" t="n"/>
      <c r="G391" s="34" t="n"/>
      <c r="H391" s="49" t="n"/>
      <c r="I391" s="48" t="n"/>
      <c r="J391" s="49" t="n"/>
      <c r="K391" s="49" t="n"/>
      <c r="L391" s="49" t="n"/>
      <c r="M391" s="51" t="n"/>
      <c r="N391" s="48" t="n"/>
    </row>
    <row r="392">
      <c r="A392" s="42" t="n"/>
      <c r="B392" s="34" t="n"/>
      <c r="C392" s="34" t="n"/>
      <c r="D392" s="34" t="n"/>
      <c r="E392" s="34" t="n"/>
      <c r="F392" s="34" t="n"/>
      <c r="G392" s="34" t="n"/>
      <c r="H392" s="49" t="n"/>
      <c r="I392" s="48" t="n"/>
      <c r="J392" s="49" t="n"/>
      <c r="K392" s="49" t="n"/>
      <c r="L392" s="49" t="n"/>
      <c r="M392" s="51" t="n"/>
      <c r="N392" s="48" t="n"/>
    </row>
    <row r="393">
      <c r="A393" s="42" t="n"/>
      <c r="B393" s="34" t="n"/>
      <c r="C393" s="34" t="n"/>
      <c r="D393" s="34" t="n"/>
      <c r="E393" s="34" t="n"/>
      <c r="F393" s="34" t="n"/>
      <c r="G393" s="34" t="n"/>
      <c r="H393" s="49" t="n"/>
      <c r="I393" s="48" t="n"/>
      <c r="J393" s="49" t="n"/>
      <c r="K393" s="49" t="n"/>
      <c r="L393" s="49" t="n"/>
      <c r="M393" s="51" t="n"/>
      <c r="N393" s="48" t="n"/>
    </row>
    <row r="394">
      <c r="A394" s="42" t="n"/>
      <c r="B394" s="34" t="n"/>
      <c r="C394" s="34" t="n"/>
      <c r="D394" s="34" t="n"/>
      <c r="E394" s="34" t="n"/>
      <c r="F394" s="34" t="n"/>
      <c r="G394" s="34" t="n"/>
      <c r="H394" s="49" t="n"/>
      <c r="I394" s="48" t="n"/>
      <c r="J394" s="49" t="n"/>
      <c r="K394" s="49" t="n"/>
      <c r="L394" s="49" t="n"/>
      <c r="M394" s="51" t="n"/>
      <c r="N394" s="48" t="n"/>
    </row>
    <row r="395">
      <c r="A395" s="42" t="n"/>
      <c r="B395" s="34" t="n"/>
      <c r="C395" s="34" t="n"/>
      <c r="D395" s="34" t="n"/>
      <c r="E395" s="34" t="n"/>
      <c r="F395" s="34" t="n"/>
      <c r="G395" s="34" t="n"/>
      <c r="H395" s="49" t="n"/>
      <c r="I395" s="48" t="n"/>
      <c r="J395" s="49" t="n"/>
      <c r="K395" s="49" t="n"/>
      <c r="L395" s="49" t="n"/>
      <c r="M395" s="51" t="n"/>
      <c r="N395" s="48" t="n"/>
    </row>
    <row r="396">
      <c r="A396" s="42" t="n"/>
      <c r="B396" s="34" t="n"/>
      <c r="C396" s="34" t="n"/>
      <c r="D396" s="34" t="n"/>
      <c r="E396" s="34" t="n"/>
      <c r="F396" s="34" t="n"/>
      <c r="G396" s="34" t="n"/>
      <c r="H396" s="49" t="n"/>
      <c r="I396" s="48" t="n"/>
      <c r="J396" s="49" t="n"/>
      <c r="K396" s="49" t="n"/>
      <c r="L396" s="49" t="n"/>
      <c r="M396" s="51" t="n"/>
      <c r="N396" s="48" t="n"/>
    </row>
    <row r="397">
      <c r="A397" s="42" t="n"/>
      <c r="B397" s="34" t="n"/>
      <c r="C397" s="34" t="n"/>
      <c r="D397" s="34" t="n"/>
      <c r="E397" s="34" t="n"/>
      <c r="F397" s="34" t="n"/>
      <c r="G397" s="34" t="n"/>
      <c r="H397" s="49" t="n"/>
      <c r="I397" s="48" t="n"/>
      <c r="J397" s="49" t="n"/>
      <c r="K397" s="49" t="n"/>
      <c r="L397" s="49" t="n"/>
      <c r="M397" s="51" t="n"/>
      <c r="N397" s="48" t="n"/>
    </row>
    <row r="398">
      <c r="A398" s="42" t="n"/>
      <c r="B398" s="34" t="n"/>
      <c r="C398" s="34" t="n"/>
      <c r="D398" s="34" t="n"/>
      <c r="E398" s="34" t="n"/>
      <c r="F398" s="34" t="n"/>
      <c r="G398" s="34" t="n"/>
      <c r="H398" s="49" t="n"/>
      <c r="I398" s="48" t="n"/>
      <c r="J398" s="49" t="n"/>
      <c r="K398" s="49" t="n"/>
      <c r="L398" s="49" t="n"/>
      <c r="M398" s="51" t="n"/>
      <c r="N398" s="48" t="n"/>
    </row>
    <row r="399">
      <c r="A399" s="42" t="n"/>
      <c r="B399" s="34" t="n"/>
      <c r="C399" s="34" t="n"/>
      <c r="D399" s="34" t="n"/>
      <c r="E399" s="34" t="n"/>
      <c r="F399" s="34" t="n"/>
      <c r="G399" s="34" t="n"/>
      <c r="H399" s="49" t="n"/>
      <c r="I399" s="48" t="n"/>
      <c r="J399" s="49" t="n"/>
      <c r="K399" s="49" t="n"/>
      <c r="L399" s="49" t="n"/>
      <c r="M399" s="51" t="n"/>
      <c r="N399" s="48" t="n"/>
    </row>
    <row r="400">
      <c r="A400" s="42" t="n"/>
      <c r="B400" s="34" t="n"/>
      <c r="C400" s="34" t="n"/>
      <c r="D400" s="34" t="n"/>
      <c r="E400" s="34" t="n"/>
      <c r="F400" s="34" t="n"/>
      <c r="G400" s="34" t="n"/>
      <c r="H400" s="49" t="n"/>
      <c r="I400" s="48" t="n"/>
      <c r="J400" s="49" t="n"/>
      <c r="K400" s="49" t="n"/>
      <c r="L400" s="49" t="n"/>
      <c r="M400" s="51" t="n"/>
      <c r="N400" s="48" t="n"/>
    </row>
    <row r="401">
      <c r="A401" s="42" t="n"/>
      <c r="B401" s="34" t="n"/>
      <c r="C401" s="34" t="n"/>
      <c r="D401" s="34" t="n"/>
      <c r="E401" s="34" t="n"/>
      <c r="F401" s="34" t="n"/>
      <c r="G401" s="34" t="n"/>
      <c r="H401" s="49" t="n"/>
      <c r="I401" s="48" t="n"/>
      <c r="J401" s="49" t="n"/>
      <c r="K401" s="49" t="n"/>
      <c r="L401" s="49" t="n"/>
      <c r="M401" s="51" t="n"/>
      <c r="N401" s="48" t="n"/>
    </row>
    <row r="402">
      <c r="A402" s="42" t="n"/>
      <c r="B402" s="34" t="n"/>
      <c r="C402" s="34" t="n"/>
      <c r="D402" s="34" t="n"/>
      <c r="E402" s="34" t="n"/>
      <c r="F402" s="34" t="n"/>
      <c r="G402" s="34" t="n"/>
      <c r="H402" s="49" t="n"/>
      <c r="I402" s="48" t="n"/>
      <c r="J402" s="49" t="n"/>
      <c r="K402" s="49" t="n"/>
      <c r="L402" s="49" t="n"/>
      <c r="M402" s="51" t="n"/>
      <c r="N402" s="48" t="n"/>
    </row>
    <row r="403">
      <c r="A403" s="42" t="n"/>
      <c r="B403" s="34" t="n"/>
      <c r="C403" s="34" t="n"/>
      <c r="D403" s="34" t="n"/>
      <c r="E403" s="34" t="n"/>
      <c r="F403" s="34" t="n"/>
      <c r="G403" s="34" t="n"/>
      <c r="H403" s="49" t="n"/>
      <c r="I403" s="48" t="n"/>
      <c r="J403" s="49" t="n"/>
      <c r="K403" s="49" t="n"/>
      <c r="L403" s="49" t="n"/>
      <c r="M403" s="51" t="n"/>
      <c r="N403" s="48" t="n"/>
    </row>
    <row r="404">
      <c r="A404" s="42" t="n"/>
      <c r="B404" s="34" t="n"/>
      <c r="C404" s="34" t="n"/>
      <c r="D404" s="34" t="n"/>
      <c r="E404" s="34" t="n"/>
      <c r="F404" s="34" t="n"/>
      <c r="G404" s="34" t="n"/>
      <c r="H404" s="49" t="n"/>
      <c r="I404" s="48" t="n"/>
      <c r="J404" s="49" t="n"/>
      <c r="K404" s="49" t="n"/>
      <c r="L404" s="49" t="n"/>
      <c r="M404" s="51" t="n"/>
      <c r="N404" s="48" t="n"/>
    </row>
    <row r="405">
      <c r="A405" s="42" t="n"/>
      <c r="B405" s="34" t="n"/>
      <c r="C405" s="34" t="n"/>
      <c r="D405" s="34" t="n"/>
      <c r="E405" s="34" t="n"/>
      <c r="F405" s="34" t="n"/>
      <c r="G405" s="34" t="n"/>
      <c r="H405" s="49" t="n"/>
      <c r="I405" s="48" t="n"/>
      <c r="J405" s="49" t="n"/>
      <c r="K405" s="49" t="n"/>
      <c r="L405" s="49" t="n"/>
      <c r="M405" s="51" t="n"/>
      <c r="N405" s="48" t="n"/>
    </row>
    <row r="406">
      <c r="A406" s="42" t="n"/>
      <c r="B406" s="34" t="n"/>
      <c r="C406" s="34" t="n"/>
      <c r="D406" s="34" t="n"/>
      <c r="E406" s="34" t="n"/>
      <c r="F406" s="34" t="n"/>
      <c r="G406" s="34" t="n"/>
      <c r="H406" s="49" t="n"/>
      <c r="I406" s="48" t="n"/>
      <c r="J406" s="49" t="n"/>
      <c r="K406" s="49" t="n"/>
      <c r="L406" s="49" t="n"/>
      <c r="M406" s="51" t="n"/>
      <c r="N406" s="48" t="n"/>
    </row>
    <row r="407">
      <c r="A407" s="42" t="n"/>
      <c r="B407" s="34" t="n"/>
      <c r="C407" s="34" t="n"/>
      <c r="D407" s="34" t="n"/>
      <c r="E407" s="34" t="n"/>
      <c r="F407" s="34" t="n"/>
      <c r="G407" s="34" t="n"/>
      <c r="H407" s="49" t="n"/>
      <c r="I407" s="48" t="n"/>
      <c r="J407" s="49" t="n"/>
      <c r="K407" s="49" t="n"/>
      <c r="L407" s="49" t="n"/>
      <c r="M407" s="51" t="n"/>
      <c r="N407" s="48" t="n"/>
    </row>
    <row r="408">
      <c r="A408" s="42" t="n"/>
      <c r="B408" s="34" t="n"/>
      <c r="C408" s="34" t="n"/>
      <c r="D408" s="34" t="n"/>
      <c r="E408" s="34" t="n"/>
      <c r="F408" s="34" t="n"/>
      <c r="G408" s="34" t="n"/>
      <c r="H408" s="49" t="n"/>
      <c r="I408" s="48" t="n"/>
      <c r="J408" s="49" t="n"/>
      <c r="K408" s="49" t="n"/>
      <c r="L408" s="49" t="n"/>
      <c r="M408" s="51" t="n"/>
      <c r="N408" s="48" t="n"/>
    </row>
    <row r="409">
      <c r="A409" s="42" t="n"/>
      <c r="B409" s="34" t="n"/>
      <c r="C409" s="34" t="n"/>
      <c r="D409" s="34" t="n"/>
      <c r="E409" s="34" t="n"/>
      <c r="F409" s="34" t="n"/>
      <c r="G409" s="34" t="n"/>
      <c r="H409" s="49" t="n"/>
      <c r="I409" s="48" t="n"/>
      <c r="J409" s="49" t="n"/>
      <c r="K409" s="49" t="n"/>
      <c r="L409" s="49" t="n"/>
      <c r="M409" s="51" t="n"/>
      <c r="N409" s="48" t="n"/>
    </row>
    <row r="410">
      <c r="A410" s="42" t="n"/>
      <c r="B410" s="34" t="n"/>
      <c r="C410" s="34" t="n"/>
      <c r="D410" s="34" t="n"/>
      <c r="E410" s="34" t="n"/>
      <c r="F410" s="34" t="n"/>
      <c r="G410" s="34" t="n"/>
      <c r="H410" s="49" t="n"/>
      <c r="I410" s="48" t="n"/>
      <c r="J410" s="49" t="n"/>
      <c r="K410" s="49" t="n"/>
      <c r="L410" s="49" t="n"/>
      <c r="M410" s="51" t="n"/>
      <c r="N410" s="48" t="n"/>
    </row>
    <row r="411">
      <c r="A411" s="42" t="n"/>
      <c r="B411" s="34" t="n"/>
      <c r="C411" s="34" t="n"/>
      <c r="D411" s="34" t="n"/>
      <c r="E411" s="34" t="n"/>
      <c r="F411" s="34" t="n"/>
      <c r="G411" s="34" t="n"/>
      <c r="H411" s="49" t="n"/>
      <c r="I411" s="48" t="n"/>
      <c r="J411" s="49" t="n"/>
      <c r="K411" s="49" t="n"/>
      <c r="L411" s="49" t="n"/>
      <c r="M411" s="51" t="n"/>
      <c r="N411" s="48" t="n"/>
    </row>
    <row r="412">
      <c r="A412" s="42" t="n"/>
      <c r="B412" s="34" t="n"/>
      <c r="C412" s="34" t="n"/>
      <c r="D412" s="34" t="n"/>
      <c r="E412" s="34" t="n"/>
      <c r="F412" s="34" t="n"/>
      <c r="G412" s="34" t="n"/>
      <c r="H412" s="49" t="n"/>
      <c r="I412" s="48" t="n"/>
      <c r="J412" s="49" t="n"/>
      <c r="K412" s="49" t="n"/>
      <c r="L412" s="49" t="n"/>
      <c r="M412" s="51" t="n"/>
      <c r="N412" s="48" t="n"/>
    </row>
    <row r="413">
      <c r="A413" s="42" t="n"/>
      <c r="B413" s="34" t="n"/>
      <c r="C413" s="34" t="n"/>
      <c r="D413" s="34" t="n"/>
      <c r="E413" s="34" t="n"/>
      <c r="F413" s="34" t="n"/>
      <c r="G413" s="34" t="n"/>
      <c r="H413" s="49" t="n"/>
      <c r="I413" s="48" t="n"/>
      <c r="J413" s="49" t="n"/>
      <c r="K413" s="49" t="n"/>
      <c r="L413" s="49" t="n"/>
      <c r="M413" s="51" t="n"/>
      <c r="N413" s="48" t="n"/>
    </row>
    <row r="414">
      <c r="A414" s="42" t="n"/>
      <c r="B414" s="34" t="n"/>
      <c r="C414" s="34" t="n"/>
      <c r="D414" s="34" t="n"/>
      <c r="E414" s="34" t="n"/>
      <c r="F414" s="34" t="n"/>
      <c r="G414" s="34" t="n"/>
      <c r="H414" s="49" t="n"/>
      <c r="I414" s="48" t="n"/>
      <c r="J414" s="49" t="n"/>
      <c r="K414" s="49" t="n"/>
      <c r="L414" s="49" t="n"/>
      <c r="M414" s="51" t="n"/>
      <c r="N414" s="48" t="n"/>
    </row>
    <row r="415">
      <c r="A415" s="42" t="n"/>
      <c r="B415" s="34" t="n"/>
      <c r="C415" s="34" t="n"/>
      <c r="D415" s="34" t="n"/>
      <c r="E415" s="34" t="n"/>
      <c r="F415" s="34" t="n"/>
      <c r="G415" s="34" t="n"/>
      <c r="H415" s="49" t="n"/>
      <c r="I415" s="48" t="n"/>
      <c r="J415" s="49" t="n"/>
      <c r="K415" s="49" t="n"/>
      <c r="L415" s="49" t="n"/>
      <c r="M415" s="51" t="n"/>
      <c r="N415" s="48" t="n"/>
    </row>
    <row r="416">
      <c r="A416" s="42" t="n"/>
      <c r="B416" s="34" t="n"/>
      <c r="C416" s="34" t="n"/>
      <c r="D416" s="34" t="n"/>
      <c r="E416" s="34" t="n"/>
      <c r="F416" s="34" t="n"/>
      <c r="G416" s="34" t="n"/>
      <c r="H416" s="49" t="n"/>
      <c r="I416" s="48" t="n"/>
      <c r="J416" s="49" t="n"/>
      <c r="K416" s="49" t="n"/>
      <c r="L416" s="49" t="n"/>
      <c r="M416" s="51" t="n"/>
      <c r="N416" s="48" t="n"/>
    </row>
    <row r="417">
      <c r="A417" s="42" t="n"/>
      <c r="B417" s="34" t="n"/>
      <c r="C417" s="34" t="n"/>
      <c r="D417" s="34" t="n"/>
      <c r="E417" s="34" t="n"/>
      <c r="F417" s="34" t="n"/>
      <c r="G417" s="34" t="n"/>
      <c r="H417" s="49" t="n"/>
      <c r="I417" s="48" t="n"/>
      <c r="J417" s="49" t="n"/>
      <c r="K417" s="49" t="n"/>
      <c r="L417" s="49" t="n"/>
      <c r="M417" s="51" t="n"/>
      <c r="N417" s="48" t="n"/>
    </row>
    <row r="418">
      <c r="A418" s="42" t="n"/>
      <c r="B418" s="34" t="n"/>
      <c r="C418" s="34" t="n"/>
      <c r="D418" s="34" t="n"/>
      <c r="E418" s="34" t="n"/>
      <c r="F418" s="34" t="n"/>
      <c r="G418" s="34" t="n"/>
      <c r="H418" s="49" t="n"/>
      <c r="I418" s="48" t="n"/>
      <c r="J418" s="49" t="n"/>
      <c r="K418" s="49" t="n"/>
      <c r="L418" s="49" t="n"/>
      <c r="M418" s="51" t="n"/>
      <c r="N418" s="48" t="n"/>
    </row>
    <row r="419">
      <c r="A419" s="42" t="n"/>
      <c r="B419" s="34" t="n"/>
      <c r="C419" s="34" t="n"/>
      <c r="D419" s="34" t="n"/>
      <c r="E419" s="34" t="n"/>
      <c r="F419" s="34" t="n"/>
      <c r="G419" s="34" t="n"/>
      <c r="H419" s="49" t="n"/>
      <c r="I419" s="48" t="n"/>
      <c r="J419" s="49" t="n"/>
      <c r="K419" s="49" t="n"/>
      <c r="L419" s="49" t="n"/>
      <c r="M419" s="51" t="n"/>
      <c r="N419" s="48" t="n"/>
    </row>
    <row r="420">
      <c r="A420" s="42" t="n"/>
      <c r="B420" s="34" t="n"/>
      <c r="C420" s="34" t="n"/>
      <c r="D420" s="34" t="n"/>
      <c r="E420" s="34" t="n"/>
      <c r="F420" s="34" t="n"/>
      <c r="G420" s="34" t="n"/>
      <c r="H420" s="49" t="n"/>
      <c r="I420" s="48" t="n"/>
      <c r="J420" s="49" t="n"/>
      <c r="K420" s="49" t="n"/>
      <c r="L420" s="49" t="n"/>
      <c r="M420" s="51" t="n"/>
      <c r="N420" s="48" t="n"/>
    </row>
    <row r="421">
      <c r="A421" s="42" t="n"/>
      <c r="B421" s="34" t="n"/>
      <c r="C421" s="34" t="n"/>
      <c r="D421" s="34" t="n"/>
      <c r="E421" s="34" t="n"/>
      <c r="F421" s="34" t="n"/>
      <c r="G421" s="34" t="n"/>
      <c r="H421" s="49" t="n"/>
      <c r="I421" s="48" t="n"/>
      <c r="J421" s="49" t="n"/>
      <c r="K421" s="49" t="n"/>
      <c r="L421" s="49" t="n"/>
      <c r="M421" s="51" t="n"/>
      <c r="N421" s="48" t="n"/>
    </row>
    <row r="422">
      <c r="A422" s="42" t="n"/>
      <c r="B422" s="34" t="n"/>
      <c r="C422" s="34" t="n"/>
      <c r="D422" s="34" t="n"/>
      <c r="E422" s="34" t="n"/>
      <c r="F422" s="34" t="n"/>
      <c r="G422" s="34" t="n"/>
      <c r="H422" s="49" t="n"/>
      <c r="I422" s="48" t="n"/>
      <c r="J422" s="49" t="n"/>
      <c r="K422" s="49" t="n"/>
      <c r="L422" s="49" t="n"/>
      <c r="M422" s="51" t="n"/>
      <c r="N422" s="48" t="n"/>
    </row>
    <row r="423">
      <c r="A423" s="42" t="n"/>
      <c r="B423" s="34" t="n"/>
      <c r="C423" s="34" t="n"/>
      <c r="D423" s="34" t="n"/>
      <c r="E423" s="34" t="n"/>
      <c r="F423" s="34" t="n"/>
      <c r="G423" s="34" t="n"/>
      <c r="H423" s="49" t="n"/>
      <c r="I423" s="48" t="n"/>
      <c r="J423" s="49" t="n"/>
      <c r="K423" s="49" t="n"/>
      <c r="L423" s="49" t="n"/>
      <c r="M423" s="51" t="n"/>
      <c r="N423" s="48" t="n"/>
    </row>
    <row r="424">
      <c r="A424" s="42" t="n"/>
      <c r="B424" s="34" t="n"/>
      <c r="C424" s="34" t="n"/>
      <c r="D424" s="34" t="n"/>
      <c r="E424" s="34" t="n"/>
      <c r="F424" s="34" t="n"/>
      <c r="G424" s="34" t="n"/>
      <c r="H424" s="49" t="n"/>
      <c r="I424" s="48" t="n"/>
      <c r="J424" s="49" t="n"/>
      <c r="K424" s="49" t="n"/>
      <c r="L424" s="49" t="n"/>
      <c r="M424" s="51" t="n"/>
      <c r="N424" s="48" t="n"/>
    </row>
    <row r="425">
      <c r="A425" s="42" t="n"/>
      <c r="B425" s="34" t="n"/>
      <c r="C425" s="34" t="n"/>
      <c r="D425" s="34" t="n"/>
      <c r="E425" s="34" t="n"/>
      <c r="F425" s="34" t="n"/>
      <c r="G425" s="34" t="n"/>
      <c r="H425" s="49" t="n"/>
      <c r="I425" s="48" t="n"/>
      <c r="J425" s="49" t="n"/>
      <c r="K425" s="49" t="n"/>
      <c r="L425" s="49" t="n"/>
      <c r="M425" s="51" t="n"/>
      <c r="N425" s="48" t="n"/>
    </row>
    <row r="426">
      <c r="A426" s="42" t="n"/>
      <c r="B426" s="34" t="n"/>
      <c r="C426" s="34" t="n"/>
      <c r="D426" s="34" t="n"/>
      <c r="E426" s="34" t="n"/>
      <c r="F426" s="34" t="n"/>
      <c r="G426" s="34" t="n"/>
      <c r="H426" s="49" t="n"/>
      <c r="I426" s="48" t="n"/>
      <c r="J426" s="49" t="n"/>
      <c r="K426" s="49" t="n"/>
      <c r="L426" s="49" t="n"/>
      <c r="M426" s="51" t="n"/>
      <c r="N426" s="48" t="n"/>
    </row>
    <row r="427">
      <c r="A427" s="42" t="n"/>
      <c r="B427" s="34" t="n"/>
      <c r="C427" s="34" t="n"/>
      <c r="D427" s="34" t="n"/>
      <c r="E427" s="34" t="n"/>
      <c r="F427" s="34" t="n"/>
      <c r="G427" s="34" t="n"/>
      <c r="H427" s="49" t="n"/>
      <c r="I427" s="48" t="n"/>
      <c r="J427" s="49" t="n"/>
      <c r="K427" s="49" t="n"/>
      <c r="L427" s="49" t="n"/>
      <c r="M427" s="51" t="n"/>
      <c r="N427" s="48" t="n"/>
    </row>
    <row r="428">
      <c r="A428" s="42" t="n"/>
      <c r="B428" s="34" t="n"/>
      <c r="C428" s="34" t="n"/>
      <c r="D428" s="34" t="n"/>
      <c r="E428" s="34" t="n"/>
      <c r="F428" s="34" t="n"/>
      <c r="G428" s="34" t="n"/>
      <c r="H428" s="49" t="n"/>
      <c r="I428" s="48" t="n"/>
      <c r="J428" s="49" t="n"/>
      <c r="K428" s="49" t="n"/>
      <c r="L428" s="49" t="n"/>
      <c r="M428" s="51" t="n"/>
      <c r="N428" s="48" t="n"/>
    </row>
    <row r="429">
      <c r="A429" s="42" t="n"/>
      <c r="B429" s="34" t="n"/>
      <c r="C429" s="34" t="n"/>
      <c r="D429" s="34" t="n"/>
      <c r="E429" s="34" t="n"/>
      <c r="F429" s="34" t="n"/>
      <c r="G429" s="34" t="n"/>
      <c r="H429" s="49" t="n"/>
      <c r="I429" s="48" t="n"/>
      <c r="J429" s="49" t="n"/>
      <c r="K429" s="49" t="n"/>
      <c r="L429" s="49" t="n"/>
      <c r="M429" s="51" t="n"/>
      <c r="N429" s="48" t="n"/>
    </row>
    <row r="430">
      <c r="A430" s="42" t="n"/>
      <c r="B430" s="34" t="n"/>
      <c r="C430" s="34" t="n"/>
      <c r="D430" s="34" t="n"/>
      <c r="E430" s="34" t="n"/>
      <c r="F430" s="34" t="n"/>
      <c r="G430" s="34" t="n"/>
      <c r="H430" s="49" t="n"/>
      <c r="I430" s="48" t="n"/>
      <c r="J430" s="49" t="n"/>
      <c r="K430" s="49" t="n"/>
      <c r="L430" s="49" t="n"/>
      <c r="M430" s="51" t="n"/>
      <c r="N430" s="48" t="n"/>
    </row>
    <row r="431">
      <c r="A431" s="42" t="n"/>
      <c r="B431" s="34" t="n"/>
      <c r="C431" s="34" t="n"/>
      <c r="D431" s="34" t="n"/>
      <c r="E431" s="34" t="n"/>
      <c r="F431" s="34" t="n"/>
      <c r="G431" s="34" t="n"/>
      <c r="H431" s="49" t="n"/>
      <c r="I431" s="48" t="n"/>
      <c r="J431" s="49" t="n"/>
      <c r="K431" s="49" t="n"/>
      <c r="L431" s="49" t="n"/>
      <c r="M431" s="51" t="n"/>
      <c r="N431" s="48" t="n"/>
    </row>
    <row r="432">
      <c r="A432" s="42" t="n"/>
      <c r="B432" s="34" t="n"/>
      <c r="C432" s="34" t="n"/>
      <c r="D432" s="34" t="n"/>
      <c r="E432" s="34" t="n"/>
      <c r="F432" s="34" t="n"/>
      <c r="G432" s="34" t="n"/>
      <c r="H432" s="49" t="n"/>
      <c r="I432" s="48" t="n"/>
      <c r="J432" s="49" t="n"/>
      <c r="K432" s="49" t="n"/>
      <c r="L432" s="49" t="n"/>
      <c r="M432" s="51" t="n"/>
      <c r="N432" s="48" t="n"/>
    </row>
    <row r="433">
      <c r="A433" s="42" t="n"/>
      <c r="B433" s="34" t="n"/>
      <c r="C433" s="34" t="n"/>
      <c r="D433" s="34" t="n"/>
      <c r="E433" s="34" t="n"/>
      <c r="F433" s="34" t="n"/>
      <c r="G433" s="34" t="n"/>
      <c r="H433" s="49" t="n"/>
      <c r="I433" s="48" t="n"/>
      <c r="J433" s="49" t="n"/>
      <c r="K433" s="49" t="n"/>
      <c r="L433" s="49" t="n"/>
      <c r="M433" s="51" t="n"/>
      <c r="N433" s="48" t="n"/>
    </row>
    <row r="434">
      <c r="A434" s="42" t="n"/>
      <c r="B434" s="34" t="n"/>
      <c r="C434" s="34" t="n"/>
      <c r="D434" s="34" t="n"/>
      <c r="E434" s="34" t="n"/>
      <c r="F434" s="34" t="n"/>
      <c r="G434" s="34" t="n"/>
      <c r="H434" s="49" t="n"/>
      <c r="I434" s="48" t="n"/>
      <c r="J434" s="49" t="n"/>
      <c r="K434" s="49" t="n"/>
      <c r="L434" s="49" t="n"/>
      <c r="M434" s="51" t="n"/>
      <c r="N434" s="48" t="n"/>
    </row>
    <row r="435">
      <c r="A435" s="42" t="n"/>
      <c r="B435" s="34" t="n"/>
      <c r="C435" s="34" t="n"/>
      <c r="D435" s="34" t="n"/>
      <c r="E435" s="34" t="n"/>
      <c r="F435" s="34" t="n"/>
      <c r="G435" s="34" t="n"/>
      <c r="H435" s="49" t="n"/>
      <c r="I435" s="48" t="n"/>
      <c r="J435" s="49" t="n"/>
      <c r="K435" s="49" t="n"/>
      <c r="L435" s="49" t="n"/>
      <c r="M435" s="51" t="n"/>
      <c r="N435" s="48" t="n"/>
    </row>
    <row r="436">
      <c r="A436" s="42" t="n"/>
      <c r="B436" s="34" t="n"/>
      <c r="C436" s="34" t="n"/>
      <c r="D436" s="34" t="n"/>
      <c r="E436" s="34" t="n"/>
      <c r="F436" s="34" t="n"/>
      <c r="G436" s="34" t="n"/>
      <c r="H436" s="49" t="n"/>
      <c r="I436" s="48" t="n"/>
      <c r="J436" s="49" t="n"/>
      <c r="K436" s="49" t="n"/>
      <c r="L436" s="49" t="n"/>
      <c r="M436" s="51" t="n"/>
      <c r="N436" s="48" t="n"/>
    </row>
    <row r="437">
      <c r="A437" s="42" t="n"/>
      <c r="B437" s="34" t="n"/>
      <c r="C437" s="34" t="n"/>
      <c r="D437" s="34" t="n"/>
      <c r="E437" s="34" t="n"/>
      <c r="F437" s="34" t="n"/>
      <c r="G437" s="34" t="n"/>
      <c r="H437" s="49" t="n"/>
      <c r="I437" s="48" t="n"/>
      <c r="J437" s="49" t="n"/>
      <c r="K437" s="49" t="n"/>
      <c r="L437" s="49" t="n"/>
      <c r="M437" s="51" t="n"/>
      <c r="N437" s="48" t="n"/>
    </row>
    <row r="438">
      <c r="A438" s="42" t="n"/>
      <c r="B438" s="34" t="n"/>
      <c r="C438" s="34" t="n"/>
      <c r="D438" s="34" t="n"/>
      <c r="E438" s="34" t="n"/>
      <c r="F438" s="34" t="n"/>
      <c r="G438" s="34" t="n"/>
      <c r="H438" s="49" t="n"/>
      <c r="I438" s="48" t="n"/>
      <c r="J438" s="49" t="n"/>
      <c r="K438" s="49" t="n"/>
      <c r="L438" s="49" t="n"/>
      <c r="M438" s="51" t="n"/>
      <c r="N438" s="48" t="n"/>
    </row>
    <row r="439">
      <c r="A439" s="42" t="n"/>
      <c r="B439" s="34" t="n"/>
      <c r="C439" s="34" t="n"/>
      <c r="D439" s="34" t="n"/>
      <c r="E439" s="34" t="n"/>
      <c r="F439" s="34" t="n"/>
      <c r="G439" s="34" t="n"/>
      <c r="H439" s="49" t="n"/>
      <c r="I439" s="48" t="n"/>
      <c r="J439" s="49" t="n"/>
      <c r="K439" s="49" t="n"/>
      <c r="L439" s="49" t="n"/>
      <c r="M439" s="51" t="n"/>
      <c r="N439" s="48" t="n"/>
    </row>
    <row r="440">
      <c r="A440" s="42" t="n"/>
      <c r="B440" s="34" t="n"/>
      <c r="C440" s="34" t="n"/>
      <c r="D440" s="34" t="n"/>
      <c r="E440" s="34" t="n"/>
      <c r="F440" s="34" t="n"/>
      <c r="G440" s="34" t="n"/>
      <c r="H440" s="49" t="n"/>
      <c r="I440" s="48" t="n"/>
      <c r="J440" s="49" t="n"/>
      <c r="K440" s="49" t="n"/>
      <c r="L440" s="49" t="n"/>
      <c r="M440" s="51" t="n"/>
      <c r="N440" s="48" t="n"/>
    </row>
    <row r="441">
      <c r="A441" s="42" t="n"/>
      <c r="B441" s="34" t="n"/>
      <c r="C441" s="34" t="n"/>
      <c r="D441" s="34" t="n"/>
      <c r="E441" s="34" t="n"/>
      <c r="F441" s="34" t="n"/>
      <c r="G441" s="34" t="n"/>
      <c r="H441" s="49" t="n"/>
      <c r="I441" s="48" t="n"/>
      <c r="J441" s="49" t="n"/>
      <c r="K441" s="49" t="n"/>
      <c r="L441" s="49" t="n"/>
      <c r="M441" s="51" t="n"/>
      <c r="N441" s="48" t="n"/>
    </row>
    <row r="442">
      <c r="A442" s="42" t="n"/>
      <c r="B442" s="34" t="n"/>
      <c r="C442" s="34" t="n"/>
      <c r="D442" s="34" t="n"/>
      <c r="E442" s="34" t="n"/>
      <c r="F442" s="34" t="n"/>
      <c r="G442" s="34" t="n"/>
      <c r="H442" s="49" t="n"/>
      <c r="I442" s="48" t="n"/>
      <c r="J442" s="49" t="n"/>
      <c r="K442" s="49" t="n"/>
      <c r="L442" s="49" t="n"/>
      <c r="M442" s="51" t="n"/>
      <c r="N442" s="48" t="n"/>
    </row>
    <row r="443">
      <c r="A443" s="42" t="n"/>
      <c r="B443" s="34" t="n"/>
      <c r="C443" s="34" t="n"/>
      <c r="D443" s="34" t="n"/>
      <c r="E443" s="34" t="n"/>
      <c r="F443" s="34" t="n"/>
      <c r="G443" s="34" t="n"/>
      <c r="H443" s="49" t="n"/>
      <c r="I443" s="48" t="n"/>
      <c r="J443" s="49" t="n"/>
      <c r="K443" s="49" t="n"/>
      <c r="L443" s="49" t="n"/>
      <c r="M443" s="51" t="n"/>
      <c r="N443" s="48" t="n"/>
    </row>
    <row r="444">
      <c r="A444" s="42" t="n"/>
      <c r="B444" s="34" t="n"/>
      <c r="C444" s="34" t="n"/>
      <c r="D444" s="34" t="n"/>
      <c r="E444" s="34" t="n"/>
      <c r="F444" s="34" t="n"/>
      <c r="G444" s="34" t="n"/>
      <c r="H444" s="49" t="n"/>
      <c r="I444" s="48" t="n"/>
      <c r="J444" s="49" t="n"/>
      <c r="K444" s="49" t="n"/>
      <c r="L444" s="49" t="n"/>
      <c r="M444" s="51" t="n"/>
      <c r="N444" s="48" t="n"/>
    </row>
    <row r="445">
      <c r="A445" s="42" t="n"/>
      <c r="B445" s="34" t="n"/>
      <c r="C445" s="34" t="n"/>
      <c r="D445" s="34" t="n"/>
      <c r="E445" s="34" t="n"/>
      <c r="F445" s="34" t="n"/>
      <c r="G445" s="34" t="n"/>
      <c r="H445" s="49" t="n"/>
      <c r="I445" s="48" t="n"/>
      <c r="J445" s="49" t="n"/>
      <c r="K445" s="49" t="n"/>
      <c r="L445" s="49" t="n"/>
      <c r="M445" s="51" t="n"/>
      <c r="N445" s="48" t="n"/>
    </row>
    <row r="446">
      <c r="A446" s="42" t="n"/>
      <c r="B446" s="34" t="n"/>
      <c r="C446" s="34" t="n"/>
      <c r="D446" s="34" t="n"/>
      <c r="E446" s="34" t="n"/>
      <c r="F446" s="34" t="n"/>
      <c r="G446" s="34" t="n"/>
      <c r="H446" s="49" t="n"/>
      <c r="I446" s="48" t="n"/>
      <c r="J446" s="49" t="n"/>
      <c r="K446" s="49" t="n"/>
      <c r="L446" s="49" t="n"/>
      <c r="M446" s="51" t="n"/>
      <c r="N446" s="48" t="n"/>
    </row>
    <row r="447">
      <c r="A447" s="42" t="n"/>
      <c r="B447" s="34" t="n"/>
      <c r="C447" s="34" t="n"/>
      <c r="D447" s="34" t="n"/>
      <c r="E447" s="34" t="n"/>
      <c r="F447" s="34" t="n"/>
      <c r="G447" s="34" t="n"/>
      <c r="H447" s="49" t="n"/>
      <c r="I447" s="48" t="n"/>
      <c r="J447" s="49" t="n"/>
      <c r="K447" s="49" t="n"/>
      <c r="L447" s="49" t="n"/>
      <c r="M447" s="51" t="n"/>
      <c r="N447" s="48" t="n"/>
    </row>
    <row r="448">
      <c r="A448" s="42" t="n"/>
      <c r="B448" s="34" t="n"/>
      <c r="C448" s="34" t="n"/>
      <c r="D448" s="34" t="n"/>
      <c r="E448" s="34" t="n"/>
      <c r="F448" s="34" t="n"/>
      <c r="G448" s="34" t="n"/>
      <c r="H448" s="49" t="n"/>
      <c r="I448" s="48" t="n"/>
      <c r="J448" s="49" t="n"/>
      <c r="K448" s="49" t="n"/>
      <c r="L448" s="49" t="n"/>
      <c r="M448" s="51" t="n"/>
      <c r="N448" s="48" t="n"/>
    </row>
    <row r="449">
      <c r="A449" s="42" t="n"/>
      <c r="B449" s="34" t="n"/>
      <c r="C449" s="34" t="n"/>
      <c r="D449" s="34" t="n"/>
      <c r="E449" s="34" t="n"/>
      <c r="F449" s="34" t="n"/>
      <c r="G449" s="34" t="n"/>
      <c r="H449" s="49" t="n"/>
      <c r="I449" s="48" t="n"/>
      <c r="J449" s="49" t="n"/>
      <c r="K449" s="49" t="n"/>
      <c r="L449" s="49" t="n"/>
      <c r="M449" s="51" t="n"/>
      <c r="N449" s="48" t="n"/>
    </row>
    <row r="450">
      <c r="A450" s="42" t="n"/>
      <c r="B450" s="34" t="n"/>
      <c r="C450" s="34" t="n"/>
      <c r="D450" s="34" t="n"/>
      <c r="E450" s="34" t="n"/>
      <c r="F450" s="34" t="n"/>
      <c r="G450" s="34" t="n"/>
      <c r="H450" s="49" t="n"/>
      <c r="I450" s="48" t="n"/>
      <c r="J450" s="49" t="n"/>
      <c r="K450" s="49" t="n"/>
      <c r="L450" s="49" t="n"/>
      <c r="M450" s="51" t="n"/>
      <c r="N450" s="48" t="n"/>
    </row>
    <row r="451">
      <c r="A451" s="42" t="n"/>
      <c r="B451" s="34" t="n"/>
      <c r="C451" s="34" t="n"/>
      <c r="D451" s="34" t="n"/>
      <c r="E451" s="34" t="n"/>
      <c r="F451" s="34" t="n"/>
      <c r="G451" s="34" t="n"/>
      <c r="H451" s="49" t="n"/>
      <c r="I451" s="48" t="n"/>
      <c r="J451" s="49" t="n"/>
      <c r="K451" s="49" t="n"/>
      <c r="L451" s="49" t="n"/>
      <c r="M451" s="51" t="n"/>
      <c r="N451" s="48" t="n"/>
    </row>
    <row r="452">
      <c r="A452" s="42" t="n"/>
      <c r="B452" s="34" t="n"/>
      <c r="C452" s="34" t="n"/>
      <c r="D452" s="34" t="n"/>
      <c r="E452" s="34" t="n"/>
      <c r="F452" s="34" t="n"/>
      <c r="G452" s="34" t="n"/>
      <c r="H452" s="49" t="n"/>
      <c r="I452" s="48" t="n"/>
      <c r="J452" s="49" t="n"/>
      <c r="K452" s="49" t="n"/>
      <c r="L452" s="49" t="n"/>
      <c r="M452" s="51" t="n"/>
      <c r="N452" s="48" t="n"/>
    </row>
    <row r="453">
      <c r="A453" s="42" t="n"/>
      <c r="B453" s="34" t="n"/>
      <c r="C453" s="34" t="n"/>
      <c r="D453" s="34" t="n"/>
      <c r="E453" s="34" t="n"/>
      <c r="F453" s="34" t="n"/>
      <c r="G453" s="34" t="n"/>
      <c r="H453" s="49" t="n"/>
      <c r="I453" s="48" t="n"/>
      <c r="J453" s="49" t="n"/>
      <c r="K453" s="49" t="n"/>
      <c r="L453" s="49" t="n"/>
      <c r="M453" s="51" t="n"/>
      <c r="N453" s="48" t="n"/>
    </row>
    <row r="454">
      <c r="A454" s="42" t="n"/>
      <c r="B454" s="34" t="n"/>
      <c r="C454" s="34" t="n"/>
      <c r="D454" s="34" t="n"/>
      <c r="E454" s="34" t="n"/>
      <c r="F454" s="34" t="n"/>
      <c r="G454" s="34" t="n"/>
      <c r="H454" s="49" t="n"/>
      <c r="I454" s="48" t="n"/>
      <c r="J454" s="49" t="n"/>
      <c r="K454" s="49" t="n"/>
      <c r="L454" s="49" t="n"/>
      <c r="M454" s="51" t="n"/>
      <c r="N454" s="48" t="n"/>
    </row>
    <row r="455">
      <c r="A455" s="42" t="n"/>
      <c r="B455" s="34" t="n"/>
      <c r="C455" s="34" t="n"/>
      <c r="D455" s="34" t="n"/>
      <c r="E455" s="34" t="n"/>
      <c r="F455" s="34" t="n"/>
      <c r="G455" s="34" t="n"/>
      <c r="H455" s="49" t="n"/>
      <c r="I455" s="48" t="n"/>
      <c r="J455" s="49" t="n"/>
      <c r="K455" s="49" t="n"/>
      <c r="L455" s="49" t="n"/>
      <c r="M455" s="51" t="n"/>
      <c r="N455" s="48" t="n"/>
    </row>
    <row r="456">
      <c r="A456" s="42" t="n"/>
      <c r="B456" s="34" t="n"/>
      <c r="C456" s="34" t="n"/>
      <c r="D456" s="34" t="n"/>
      <c r="E456" s="34" t="n"/>
      <c r="F456" s="34" t="n"/>
      <c r="G456" s="34" t="n"/>
      <c r="H456" s="49" t="n"/>
      <c r="I456" s="48" t="n"/>
      <c r="J456" s="49" t="n"/>
      <c r="K456" s="49" t="n"/>
      <c r="L456" s="49" t="n"/>
      <c r="M456" s="51" t="n"/>
      <c r="N456" s="48" t="n"/>
    </row>
    <row r="457">
      <c r="A457" s="42" t="n"/>
      <c r="B457" s="34" t="n"/>
      <c r="C457" s="34" t="n"/>
      <c r="D457" s="34" t="n"/>
      <c r="E457" s="34" t="n"/>
      <c r="F457" s="34" t="n"/>
      <c r="G457" s="34" t="n"/>
      <c r="H457" s="49" t="n"/>
      <c r="I457" s="48" t="n"/>
      <c r="J457" s="49" t="n"/>
      <c r="K457" s="49" t="n"/>
      <c r="L457" s="49" t="n"/>
      <c r="M457" s="51" t="n"/>
      <c r="N457" s="48" t="n"/>
    </row>
    <row r="458">
      <c r="A458" s="42" t="n"/>
      <c r="B458" s="34" t="n"/>
      <c r="C458" s="34" t="n"/>
      <c r="D458" s="34" t="n"/>
      <c r="E458" s="34" t="n"/>
      <c r="F458" s="34" t="n"/>
      <c r="G458" s="34" t="n"/>
      <c r="H458" s="49" t="n"/>
      <c r="I458" s="48" t="n"/>
      <c r="J458" s="49" t="n"/>
      <c r="K458" s="49" t="n"/>
      <c r="L458" s="49" t="n"/>
      <c r="M458" s="51" t="n"/>
      <c r="N458" s="48" t="n"/>
    </row>
    <row r="459">
      <c r="A459" s="42" t="n"/>
      <c r="B459" s="34" t="n"/>
      <c r="C459" s="34" t="n"/>
      <c r="D459" s="34" t="n"/>
      <c r="E459" s="34" t="n"/>
      <c r="F459" s="34" t="n"/>
      <c r="G459" s="34" t="n"/>
      <c r="H459" s="49" t="n"/>
      <c r="I459" s="48" t="n"/>
      <c r="J459" s="49" t="n"/>
      <c r="K459" s="49" t="n"/>
      <c r="L459" s="49" t="n"/>
      <c r="M459" s="51" t="n"/>
      <c r="N459" s="48" t="n"/>
    </row>
    <row r="460">
      <c r="A460" s="42" t="n"/>
      <c r="B460" s="34" t="n"/>
      <c r="C460" s="34" t="n"/>
      <c r="D460" s="34" t="n"/>
      <c r="E460" s="34" t="n"/>
      <c r="F460" s="34" t="n"/>
      <c r="G460" s="34" t="n"/>
      <c r="H460" s="49" t="n"/>
      <c r="I460" s="48" t="n"/>
      <c r="J460" s="49" t="n"/>
      <c r="K460" s="49" t="n"/>
      <c r="L460" s="49" t="n"/>
      <c r="M460" s="51" t="n"/>
      <c r="N460" s="48" t="n"/>
    </row>
    <row r="461">
      <c r="A461" s="42" t="n"/>
      <c r="B461" s="34" t="n"/>
      <c r="C461" s="34" t="n"/>
      <c r="D461" s="34" t="n"/>
      <c r="E461" s="34" t="n"/>
      <c r="F461" s="34" t="n"/>
      <c r="G461" s="34" t="n"/>
      <c r="H461" s="49" t="n"/>
      <c r="I461" s="48" t="n"/>
      <c r="J461" s="49" t="n"/>
      <c r="K461" s="49" t="n"/>
      <c r="L461" s="49" t="n"/>
      <c r="M461" s="51" t="n"/>
      <c r="N461" s="48" t="n"/>
    </row>
    <row r="462">
      <c r="A462" s="42" t="n"/>
      <c r="B462" s="34" t="n"/>
      <c r="C462" s="34" t="n"/>
      <c r="D462" s="34" t="n"/>
      <c r="E462" s="34" t="n"/>
      <c r="F462" s="34" t="n"/>
      <c r="G462" s="34" t="n"/>
      <c r="H462" s="49" t="n"/>
      <c r="I462" s="48" t="n"/>
      <c r="J462" s="49" t="n"/>
      <c r="K462" s="49" t="n"/>
      <c r="L462" s="49" t="n"/>
      <c r="M462" s="51" t="n"/>
      <c r="N462" s="48" t="n"/>
    </row>
    <row r="463">
      <c r="A463" s="42" t="n"/>
      <c r="B463" s="34" t="n"/>
      <c r="C463" s="34" t="n"/>
      <c r="D463" s="34" t="n"/>
      <c r="E463" s="34" t="n"/>
      <c r="F463" s="34" t="n"/>
      <c r="G463" s="34" t="n"/>
      <c r="H463" s="49" t="n"/>
      <c r="I463" s="48" t="n"/>
      <c r="J463" s="49" t="n"/>
      <c r="K463" s="49" t="n"/>
      <c r="L463" s="49" t="n"/>
      <c r="M463" s="51" t="n"/>
      <c r="N463" s="48" t="n"/>
    </row>
    <row r="464">
      <c r="A464" s="42" t="n"/>
      <c r="B464" s="34" t="n"/>
      <c r="C464" s="34" t="n"/>
      <c r="D464" s="34" t="n"/>
      <c r="E464" s="34" t="n"/>
      <c r="F464" s="34" t="n"/>
      <c r="G464" s="34" t="n"/>
      <c r="H464" s="49" t="n"/>
      <c r="I464" s="48" t="n"/>
      <c r="J464" s="49" t="n"/>
      <c r="K464" s="49" t="n"/>
      <c r="L464" s="49" t="n"/>
      <c r="M464" s="51" t="n"/>
      <c r="N464" s="48" t="n"/>
    </row>
    <row r="465">
      <c r="A465" s="42" t="n"/>
      <c r="B465" s="34" t="n"/>
      <c r="C465" s="34" t="n"/>
      <c r="D465" s="34" t="n"/>
      <c r="E465" s="34" t="n"/>
      <c r="F465" s="34" t="n"/>
      <c r="G465" s="34" t="n"/>
      <c r="H465" s="49" t="n"/>
      <c r="I465" s="48" t="n"/>
      <c r="J465" s="49" t="n"/>
      <c r="K465" s="49" t="n"/>
      <c r="L465" s="49" t="n"/>
      <c r="M465" s="51" t="n"/>
      <c r="N465" s="48" t="n"/>
    </row>
    <row r="466">
      <c r="A466" s="42" t="n"/>
      <c r="B466" s="34" t="n"/>
      <c r="C466" s="34" t="n"/>
      <c r="D466" s="34" t="n"/>
      <c r="E466" s="34" t="n"/>
      <c r="F466" s="34" t="n"/>
      <c r="G466" s="34" t="n"/>
      <c r="H466" s="49" t="n"/>
      <c r="I466" s="48" t="n"/>
      <c r="J466" s="49" t="n"/>
      <c r="K466" s="49" t="n"/>
      <c r="L466" s="49" t="n"/>
      <c r="M466" s="51" t="n"/>
      <c r="N466" s="48" t="n"/>
    </row>
    <row r="467">
      <c r="A467" s="42" t="n"/>
      <c r="B467" s="34" t="n"/>
      <c r="C467" s="34" t="n"/>
      <c r="D467" s="34" t="n"/>
      <c r="E467" s="34" t="n"/>
      <c r="F467" s="34" t="n"/>
      <c r="G467" s="34" t="n"/>
      <c r="H467" s="49" t="n"/>
      <c r="I467" s="48" t="n"/>
      <c r="J467" s="49" t="n"/>
      <c r="K467" s="49" t="n"/>
      <c r="L467" s="49" t="n"/>
      <c r="M467" s="51" t="n"/>
      <c r="N467" s="48" t="n"/>
    </row>
    <row r="468">
      <c r="A468" s="42" t="n"/>
      <c r="B468" s="34" t="n"/>
      <c r="C468" s="34" t="n"/>
      <c r="D468" s="34" t="n"/>
      <c r="E468" s="34" t="n"/>
      <c r="F468" s="34" t="n"/>
      <c r="G468" s="34" t="n"/>
      <c r="H468" s="49" t="n"/>
      <c r="I468" s="48" t="n"/>
      <c r="J468" s="49" t="n"/>
      <c r="K468" s="49" t="n"/>
      <c r="L468" s="49" t="n"/>
      <c r="M468" s="51" t="n"/>
      <c r="N468" s="48" t="n"/>
    </row>
    <row r="469">
      <c r="A469" s="42" t="n"/>
      <c r="B469" s="34" t="n"/>
      <c r="C469" s="34" t="n"/>
      <c r="D469" s="34" t="n"/>
      <c r="E469" s="34" t="n"/>
      <c r="F469" s="34" t="n"/>
      <c r="G469" s="34" t="n"/>
      <c r="H469" s="49" t="n"/>
      <c r="I469" s="48" t="n"/>
      <c r="J469" s="49" t="n"/>
      <c r="K469" s="49" t="n"/>
      <c r="L469" s="49" t="n"/>
      <c r="M469" s="51" t="n"/>
      <c r="N469" s="48" t="n"/>
    </row>
    <row r="470">
      <c r="A470" s="42" t="n"/>
      <c r="B470" s="34" t="n"/>
      <c r="C470" s="34" t="n"/>
      <c r="D470" s="34" t="n"/>
      <c r="E470" s="34" t="n"/>
      <c r="F470" s="34" t="n"/>
      <c r="G470" s="34" t="n"/>
      <c r="H470" s="49" t="n"/>
      <c r="I470" s="48" t="n"/>
      <c r="J470" s="49" t="n"/>
      <c r="K470" s="49" t="n"/>
      <c r="L470" s="49" t="n"/>
      <c r="M470" s="51" t="n"/>
      <c r="N470" s="48" t="n"/>
    </row>
    <row r="471">
      <c r="A471" s="42" t="n"/>
      <c r="B471" s="34" t="n"/>
      <c r="C471" s="34" t="n"/>
      <c r="D471" s="34" t="n"/>
      <c r="E471" s="34" t="n"/>
      <c r="F471" s="34" t="n"/>
      <c r="G471" s="34" t="n"/>
      <c r="H471" s="49" t="n"/>
      <c r="I471" s="48" t="n"/>
      <c r="J471" s="49" t="n"/>
      <c r="K471" s="49" t="n"/>
      <c r="L471" s="49" t="n"/>
      <c r="M471" s="51" t="n"/>
      <c r="N471" s="48" t="n"/>
    </row>
    <row r="472">
      <c r="A472" s="42" t="n"/>
      <c r="B472" s="34" t="n"/>
      <c r="C472" s="34" t="n"/>
      <c r="D472" s="34" t="n"/>
      <c r="E472" s="34" t="n"/>
      <c r="F472" s="34" t="n"/>
      <c r="G472" s="34" t="n"/>
      <c r="H472" s="49" t="n"/>
      <c r="I472" s="48" t="n"/>
      <c r="J472" s="49" t="n"/>
      <c r="K472" s="49" t="n"/>
      <c r="L472" s="49" t="n"/>
      <c r="M472" s="51" t="n"/>
      <c r="N472" s="48" t="n"/>
    </row>
    <row r="473">
      <c r="A473" s="42" t="n"/>
      <c r="B473" s="34" t="n"/>
      <c r="C473" s="34" t="n"/>
      <c r="D473" s="34" t="n"/>
      <c r="E473" s="34" t="n"/>
      <c r="F473" s="34" t="n"/>
      <c r="G473" s="34" t="n"/>
      <c r="H473" s="49" t="n"/>
      <c r="I473" s="48" t="n"/>
      <c r="J473" s="49" t="n"/>
      <c r="K473" s="49" t="n"/>
      <c r="L473" s="49" t="n"/>
      <c r="M473" s="51" t="n"/>
      <c r="N473" s="48" t="n"/>
    </row>
    <row r="474">
      <c r="A474" s="42" t="n"/>
      <c r="B474" s="34" t="n"/>
      <c r="C474" s="34" t="n"/>
      <c r="D474" s="34" t="n"/>
      <c r="E474" s="34" t="n"/>
      <c r="F474" s="34" t="n"/>
      <c r="G474" s="34" t="n"/>
      <c r="H474" s="49" t="n"/>
      <c r="I474" s="48" t="n"/>
      <c r="J474" s="49" t="n"/>
      <c r="K474" s="49" t="n"/>
      <c r="L474" s="49" t="n"/>
      <c r="M474" s="51" t="n"/>
      <c r="N474" s="48" t="n"/>
    </row>
    <row r="475">
      <c r="A475" s="42" t="n"/>
      <c r="B475" s="34" t="n"/>
      <c r="C475" s="34" t="n"/>
      <c r="D475" s="34" t="n"/>
      <c r="E475" s="34" t="n"/>
      <c r="F475" s="34" t="n"/>
      <c r="G475" s="34" t="n"/>
      <c r="H475" s="49" t="n"/>
      <c r="I475" s="48" t="n"/>
      <c r="J475" s="49" t="n"/>
      <c r="K475" s="49" t="n"/>
      <c r="L475" s="49" t="n"/>
      <c r="M475" s="51" t="n"/>
      <c r="N475" s="48" t="n"/>
    </row>
    <row r="476">
      <c r="A476" s="42" t="n"/>
      <c r="B476" s="34" t="n"/>
      <c r="C476" s="34" t="n"/>
      <c r="D476" s="34" t="n"/>
      <c r="E476" s="34" t="n"/>
      <c r="F476" s="34" t="n"/>
      <c r="G476" s="34" t="n"/>
      <c r="H476" s="49" t="n"/>
      <c r="I476" s="48" t="n"/>
      <c r="J476" s="49" t="n"/>
      <c r="K476" s="49" t="n"/>
      <c r="L476" s="49" t="n"/>
      <c r="M476" s="51" t="n"/>
      <c r="N476" s="48" t="n"/>
    </row>
    <row r="477">
      <c r="A477" s="42" t="n"/>
      <c r="B477" s="34" t="n"/>
      <c r="C477" s="34" t="n"/>
      <c r="D477" s="34" t="n"/>
      <c r="E477" s="34" t="n"/>
      <c r="F477" s="34" t="n"/>
      <c r="G477" s="34" t="n"/>
      <c r="H477" s="49" t="n"/>
      <c r="I477" s="48" t="n"/>
      <c r="J477" s="49" t="n"/>
      <c r="K477" s="49" t="n"/>
      <c r="L477" s="49" t="n"/>
      <c r="M477" s="51" t="n"/>
      <c r="N477" s="48" t="n"/>
    </row>
    <row r="478">
      <c r="A478" s="42" t="n"/>
      <c r="B478" s="34" t="n"/>
      <c r="C478" s="34" t="n"/>
      <c r="D478" s="34" t="n"/>
      <c r="E478" s="34" t="n"/>
      <c r="F478" s="34" t="n"/>
      <c r="G478" s="34" t="n"/>
      <c r="H478" s="49" t="n"/>
      <c r="I478" s="48" t="n"/>
      <c r="J478" s="49" t="n"/>
      <c r="K478" s="49" t="n"/>
      <c r="L478" s="49" t="n"/>
      <c r="M478" s="51" t="n"/>
      <c r="N478" s="48" t="n"/>
    </row>
    <row r="479">
      <c r="A479" s="42" t="n"/>
      <c r="B479" s="34" t="n"/>
      <c r="C479" s="34" t="n"/>
      <c r="D479" s="34" t="n"/>
      <c r="E479" s="34" t="n"/>
      <c r="F479" s="34" t="n"/>
      <c r="G479" s="34" t="n"/>
      <c r="H479" s="49" t="n"/>
      <c r="I479" s="48" t="n"/>
      <c r="J479" s="49" t="n"/>
      <c r="K479" s="49" t="n"/>
      <c r="L479" s="49" t="n"/>
      <c r="M479" s="51" t="n"/>
      <c r="N479" s="48" t="n"/>
    </row>
    <row r="480">
      <c r="A480" s="42" t="n"/>
      <c r="B480" s="34" t="n"/>
      <c r="C480" s="34" t="n"/>
      <c r="D480" s="34" t="n"/>
      <c r="E480" s="34" t="n"/>
      <c r="F480" s="34" t="n"/>
      <c r="G480" s="34" t="n"/>
      <c r="H480" s="49" t="n"/>
      <c r="I480" s="48" t="n"/>
      <c r="J480" s="49" t="n"/>
      <c r="K480" s="49" t="n"/>
      <c r="L480" s="49" t="n"/>
      <c r="M480" s="51" t="n"/>
      <c r="N480" s="48" t="n"/>
    </row>
    <row r="481">
      <c r="A481" s="42" t="n"/>
      <c r="B481" s="34" t="n"/>
      <c r="C481" s="34" t="n"/>
      <c r="D481" s="34" t="n"/>
      <c r="E481" s="34" t="n"/>
      <c r="F481" s="34" t="n"/>
      <c r="G481" s="34" t="n"/>
      <c r="H481" s="49" t="n"/>
      <c r="I481" s="48" t="n"/>
      <c r="J481" s="49" t="n"/>
      <c r="K481" s="49" t="n"/>
      <c r="L481" s="49" t="n"/>
      <c r="M481" s="51" t="n"/>
      <c r="N481" s="48" t="n"/>
    </row>
    <row r="482">
      <c r="A482" s="42" t="n"/>
      <c r="B482" s="34" t="n"/>
      <c r="C482" s="34" t="n"/>
      <c r="D482" s="34" t="n"/>
      <c r="E482" s="34" t="n"/>
      <c r="F482" s="34" t="n"/>
      <c r="G482" s="34" t="n"/>
      <c r="H482" s="49" t="n"/>
      <c r="I482" s="48" t="n"/>
      <c r="J482" s="49" t="n"/>
      <c r="K482" s="49" t="n"/>
      <c r="L482" s="49" t="n"/>
      <c r="M482" s="51" t="n"/>
      <c r="N482" s="48" t="n"/>
    </row>
    <row r="483">
      <c r="A483" s="42" t="n"/>
      <c r="B483" s="34" t="n"/>
      <c r="C483" s="34" t="n"/>
      <c r="D483" s="34" t="n"/>
      <c r="E483" s="34" t="n"/>
      <c r="F483" s="34" t="n"/>
      <c r="G483" s="34" t="n"/>
      <c r="H483" s="49" t="n"/>
      <c r="I483" s="48" t="n"/>
      <c r="J483" s="49" t="n"/>
      <c r="K483" s="49" t="n"/>
      <c r="L483" s="49" t="n"/>
      <c r="M483" s="51" t="n"/>
      <c r="N483" s="48" t="n"/>
    </row>
    <row r="484">
      <c r="A484" s="42" t="n"/>
      <c r="B484" s="34" t="n"/>
      <c r="C484" s="34" t="n"/>
      <c r="D484" s="34" t="n"/>
      <c r="E484" s="34" t="n"/>
      <c r="F484" s="34" t="n"/>
      <c r="G484" s="34" t="n"/>
      <c r="H484" s="49" t="n"/>
      <c r="I484" s="48" t="n"/>
      <c r="J484" s="49" t="n"/>
      <c r="K484" s="49" t="n"/>
      <c r="L484" s="49" t="n"/>
      <c r="M484" s="51" t="n"/>
      <c r="N484" s="48" t="n"/>
    </row>
    <row r="485">
      <c r="A485" s="42" t="n"/>
      <c r="B485" s="34" t="n"/>
      <c r="C485" s="34" t="n"/>
      <c r="D485" s="34" t="n"/>
      <c r="E485" s="34" t="n"/>
      <c r="F485" s="34" t="n"/>
      <c r="G485" s="34" t="n"/>
      <c r="H485" s="49" t="n"/>
      <c r="I485" s="48" t="n"/>
      <c r="J485" s="49" t="n"/>
      <c r="K485" s="49" t="n"/>
      <c r="L485" s="49" t="n"/>
      <c r="M485" s="51" t="n"/>
      <c r="N485" s="48" t="n"/>
    </row>
    <row r="486">
      <c r="A486" s="42" t="n"/>
      <c r="B486" s="34" t="n"/>
      <c r="C486" s="34" t="n"/>
      <c r="D486" s="34" t="n"/>
      <c r="E486" s="34" t="n"/>
      <c r="F486" s="34" t="n"/>
      <c r="G486" s="34" t="n"/>
      <c r="H486" s="49" t="n"/>
      <c r="I486" s="48" t="n"/>
      <c r="J486" s="49" t="n"/>
      <c r="K486" s="49" t="n"/>
      <c r="L486" s="49" t="n"/>
      <c r="M486" s="51" t="n"/>
      <c r="N486" s="48" t="n"/>
    </row>
    <row r="487">
      <c r="A487" s="42" t="n"/>
      <c r="B487" s="34" t="n"/>
      <c r="C487" s="34" t="n"/>
      <c r="D487" s="34" t="n"/>
      <c r="E487" s="34" t="n"/>
      <c r="F487" s="34" t="n"/>
      <c r="G487" s="34" t="n"/>
      <c r="H487" s="49" t="n"/>
      <c r="I487" s="48" t="n"/>
      <c r="J487" s="49" t="n"/>
      <c r="K487" s="49" t="n"/>
      <c r="L487" s="49" t="n"/>
      <c r="M487" s="51" t="n"/>
      <c r="N487" s="48" t="n"/>
    </row>
    <row r="488">
      <c r="A488" s="42" t="n"/>
      <c r="B488" s="34" t="n"/>
      <c r="C488" s="34" t="n"/>
      <c r="D488" s="34" t="n"/>
      <c r="E488" s="34" t="n"/>
      <c r="F488" s="34" t="n"/>
      <c r="G488" s="34" t="n"/>
      <c r="H488" s="49" t="n"/>
      <c r="I488" s="48" t="n"/>
      <c r="J488" s="49" t="n"/>
      <c r="K488" s="49" t="n"/>
      <c r="L488" s="49" t="n"/>
      <c r="M488" s="51" t="n"/>
      <c r="N488" s="48" t="n"/>
    </row>
    <row r="489">
      <c r="A489" s="42" t="n"/>
      <c r="B489" s="34" t="n"/>
      <c r="C489" s="34" t="n"/>
      <c r="D489" s="34" t="n"/>
      <c r="E489" s="34" t="n"/>
      <c r="F489" s="34" t="n"/>
      <c r="G489" s="34" t="n"/>
      <c r="H489" s="49" t="n"/>
      <c r="I489" s="48" t="n"/>
      <c r="J489" s="49" t="n"/>
      <c r="K489" s="49" t="n"/>
      <c r="L489" s="49" t="n"/>
      <c r="M489" s="51" t="n"/>
      <c r="N489" s="48" t="n"/>
    </row>
    <row r="490">
      <c r="A490" s="42" t="n"/>
      <c r="B490" s="34" t="n"/>
      <c r="C490" s="34" t="n"/>
      <c r="D490" s="34" t="n"/>
      <c r="E490" s="34" t="n"/>
      <c r="F490" s="34" t="n"/>
      <c r="G490" s="34" t="n"/>
      <c r="H490" s="49" t="n"/>
      <c r="I490" s="48" t="n"/>
      <c r="J490" s="49" t="n"/>
      <c r="K490" s="49" t="n"/>
      <c r="L490" s="49" t="n"/>
      <c r="M490" s="51" t="n"/>
      <c r="N490" s="48" t="n"/>
    </row>
    <row r="491">
      <c r="A491" s="42" t="n"/>
      <c r="B491" s="34" t="n"/>
      <c r="C491" s="34" t="n"/>
      <c r="D491" s="34" t="n"/>
      <c r="E491" s="34" t="n"/>
      <c r="F491" s="34" t="n"/>
      <c r="G491" s="34" t="n"/>
      <c r="H491" s="49" t="n"/>
      <c r="I491" s="48" t="n"/>
      <c r="J491" s="49" t="n"/>
      <c r="K491" s="49" t="n"/>
      <c r="L491" s="49" t="n"/>
      <c r="M491" s="51" t="n"/>
      <c r="N491" s="48" t="n"/>
    </row>
    <row r="492">
      <c r="A492" s="42" t="n"/>
      <c r="B492" s="34" t="n"/>
      <c r="C492" s="34" t="n"/>
      <c r="D492" s="34" t="n"/>
      <c r="E492" s="34" t="n"/>
      <c r="F492" s="34" t="n"/>
      <c r="G492" s="34" t="n"/>
      <c r="H492" s="49" t="n"/>
      <c r="I492" s="48" t="n"/>
      <c r="J492" s="49" t="n"/>
      <c r="K492" s="49" t="n"/>
      <c r="L492" s="49" t="n"/>
      <c r="M492" s="51" t="n"/>
      <c r="N492" s="48" t="n"/>
    </row>
    <row r="493">
      <c r="A493" s="42" t="n"/>
      <c r="B493" s="34" t="n"/>
      <c r="C493" s="34" t="n"/>
      <c r="D493" s="34" t="n"/>
      <c r="E493" s="34" t="n"/>
      <c r="F493" s="34" t="n"/>
      <c r="G493" s="34" t="n"/>
      <c r="H493" s="49" t="n"/>
      <c r="I493" s="48" t="n"/>
      <c r="J493" s="49" t="n"/>
      <c r="K493" s="49" t="n"/>
      <c r="L493" s="49" t="n"/>
      <c r="M493" s="51" t="n"/>
      <c r="N493" s="48" t="n"/>
    </row>
    <row r="494">
      <c r="A494" s="42" t="n"/>
      <c r="B494" s="34" t="n"/>
      <c r="C494" s="34" t="n"/>
      <c r="D494" s="34" t="n"/>
      <c r="E494" s="34" t="n"/>
      <c r="F494" s="34" t="n"/>
      <c r="G494" s="34" t="n"/>
      <c r="H494" s="49" t="n"/>
      <c r="I494" s="48" t="n"/>
      <c r="J494" s="49" t="n"/>
      <c r="K494" s="49" t="n"/>
      <c r="L494" s="49" t="n"/>
      <c r="M494" s="51" t="n"/>
      <c r="N494" s="48" t="n"/>
    </row>
    <row r="495">
      <c r="A495" s="42" t="n"/>
      <c r="B495" s="34" t="n"/>
      <c r="C495" s="34" t="n"/>
      <c r="D495" s="34" t="n"/>
      <c r="E495" s="34" t="n"/>
      <c r="F495" s="34" t="n"/>
      <c r="G495" s="34" t="n"/>
      <c r="H495" s="49" t="n"/>
      <c r="I495" s="48" t="n"/>
      <c r="J495" s="49" t="n"/>
      <c r="K495" s="49" t="n"/>
      <c r="L495" s="49" t="n"/>
      <c r="M495" s="51" t="n"/>
      <c r="N495" s="48" t="n"/>
    </row>
    <row r="496">
      <c r="A496" s="42" t="n"/>
      <c r="B496" s="34" t="n"/>
      <c r="C496" s="34" t="n"/>
      <c r="D496" s="34" t="n"/>
      <c r="E496" s="34" t="n"/>
      <c r="F496" s="34" t="n"/>
      <c r="G496" s="34" t="n"/>
      <c r="H496" s="49" t="n"/>
      <c r="I496" s="48" t="n"/>
      <c r="J496" s="49" t="n"/>
      <c r="K496" s="49" t="n"/>
      <c r="L496" s="49" t="n"/>
      <c r="M496" s="51" t="n"/>
      <c r="N496" s="48" t="n"/>
    </row>
    <row r="497">
      <c r="A497" s="42" t="n"/>
      <c r="B497" s="34" t="n"/>
      <c r="C497" s="34" t="n"/>
      <c r="D497" s="34" t="n"/>
      <c r="E497" s="34" t="n"/>
      <c r="F497" s="34" t="n"/>
      <c r="G497" s="34" t="n"/>
      <c r="H497" s="49" t="n"/>
      <c r="I497" s="48" t="n"/>
      <c r="J497" s="49" t="n"/>
      <c r="K497" s="49" t="n"/>
      <c r="L497" s="49" t="n"/>
      <c r="M497" s="51" t="n"/>
      <c r="N497" s="48" t="n"/>
    </row>
    <row r="498">
      <c r="A498" s="42" t="n"/>
      <c r="B498" s="34" t="n"/>
      <c r="C498" s="34" t="n"/>
      <c r="D498" s="34" t="n"/>
      <c r="E498" s="34" t="n"/>
      <c r="F498" s="34" t="n"/>
      <c r="G498" s="34" t="n"/>
      <c r="H498" s="49" t="n"/>
      <c r="I498" s="48" t="n"/>
      <c r="J498" s="49" t="n"/>
      <c r="K498" s="49" t="n"/>
      <c r="L498" s="49" t="n"/>
      <c r="M498" s="51" t="n"/>
      <c r="N498" s="48" t="n"/>
    </row>
    <row r="499">
      <c r="A499" s="42" t="n"/>
      <c r="B499" s="34" t="n"/>
      <c r="C499" s="34" t="n"/>
      <c r="D499" s="34" t="n"/>
      <c r="E499" s="34" t="n"/>
      <c r="F499" s="34" t="n"/>
      <c r="G499" s="34" t="n"/>
      <c r="H499" s="49" t="n"/>
      <c r="I499" s="48" t="n"/>
      <c r="J499" s="49" t="n"/>
      <c r="K499" s="49" t="n"/>
      <c r="L499" s="49" t="n"/>
      <c r="M499" s="51" t="n"/>
      <c r="N499" s="48" t="n"/>
    </row>
    <row r="500">
      <c r="A500" s="42" t="n"/>
      <c r="B500" s="34" t="n"/>
      <c r="C500" s="34" t="n"/>
      <c r="D500" s="34" t="n"/>
      <c r="E500" s="34" t="n"/>
      <c r="F500" s="34" t="n"/>
      <c r="G500" s="34" t="n"/>
      <c r="H500" s="49" t="n"/>
      <c r="I500" s="48" t="n"/>
      <c r="J500" s="49" t="n"/>
      <c r="K500" s="49" t="n"/>
      <c r="L500" s="49" t="n"/>
      <c r="M500" s="51" t="n"/>
      <c r="N500" s="48" t="n"/>
    </row>
    <row r="501">
      <c r="A501" s="42" t="n"/>
      <c r="B501" s="34" t="n"/>
      <c r="C501" s="34" t="n"/>
      <c r="D501" s="34" t="n"/>
      <c r="E501" s="34" t="n"/>
      <c r="F501" s="34" t="n"/>
      <c r="G501" s="34" t="n"/>
      <c r="H501" s="49" t="n"/>
      <c r="I501" s="48" t="n"/>
      <c r="J501" s="49" t="n"/>
      <c r="K501" s="49" t="n"/>
      <c r="L501" s="49" t="n"/>
      <c r="M501" s="51" t="n"/>
      <c r="N501" s="48" t="n"/>
    </row>
    <row r="502">
      <c r="A502" s="42" t="n"/>
      <c r="B502" s="34" t="n"/>
      <c r="C502" s="34" t="n"/>
      <c r="D502" s="34" t="n"/>
      <c r="E502" s="34" t="n"/>
      <c r="F502" s="34" t="n"/>
      <c r="G502" s="34" t="n"/>
      <c r="H502" s="49" t="n"/>
      <c r="I502" s="48" t="n"/>
      <c r="J502" s="49" t="n"/>
      <c r="K502" s="49" t="n"/>
      <c r="L502" s="49" t="n"/>
      <c r="M502" s="51" t="n"/>
      <c r="N502" s="48" t="n"/>
    </row>
    <row r="503">
      <c r="A503" s="42" t="n"/>
      <c r="B503" s="34" t="n"/>
      <c r="C503" s="34" t="n"/>
      <c r="D503" s="34" t="n"/>
      <c r="E503" s="34" t="n"/>
      <c r="F503" s="34" t="n"/>
      <c r="G503" s="34" t="n"/>
      <c r="H503" s="49" t="n"/>
      <c r="I503" s="48" t="n"/>
      <c r="J503" s="49" t="n"/>
      <c r="K503" s="49" t="n"/>
      <c r="L503" s="49" t="n"/>
      <c r="M503" s="51" t="n"/>
      <c r="N503" s="48" t="n"/>
    </row>
    <row r="504">
      <c r="A504" s="42" t="n"/>
      <c r="B504" s="34" t="n"/>
      <c r="C504" s="34" t="n"/>
      <c r="D504" s="34" t="n"/>
      <c r="E504" s="34" t="n"/>
      <c r="F504" s="34" t="n"/>
      <c r="G504" s="34" t="n"/>
      <c r="H504" s="49" t="n"/>
      <c r="I504" s="48" t="n"/>
      <c r="J504" s="49" t="n"/>
      <c r="K504" s="49" t="n"/>
      <c r="L504" s="49" t="n"/>
      <c r="M504" s="51" t="n"/>
      <c r="N504" s="48" t="n"/>
    </row>
    <row r="505">
      <c r="A505" s="42" t="n"/>
      <c r="B505" s="34" t="n"/>
      <c r="C505" s="34" t="n"/>
      <c r="D505" s="34" t="n"/>
      <c r="E505" s="34" t="n"/>
      <c r="F505" s="34" t="n"/>
      <c r="G505" s="34" t="n"/>
      <c r="H505" s="49" t="n"/>
      <c r="I505" s="48" t="n"/>
      <c r="J505" s="49" t="n"/>
      <c r="K505" s="49" t="n"/>
      <c r="L505" s="49" t="n"/>
      <c r="M505" s="51" t="n"/>
      <c r="N505" s="48" t="n"/>
    </row>
    <row r="506">
      <c r="A506" s="42" t="n"/>
      <c r="B506" s="34" t="n"/>
      <c r="C506" s="34" t="n"/>
      <c r="D506" s="34" t="n"/>
      <c r="E506" s="34" t="n"/>
      <c r="F506" s="34" t="n"/>
      <c r="G506" s="34" t="n"/>
      <c r="H506" s="49" t="n"/>
      <c r="I506" s="48" t="n"/>
      <c r="J506" s="49" t="n"/>
      <c r="K506" s="49" t="n"/>
      <c r="L506" s="49" t="n"/>
      <c r="M506" s="51" t="n"/>
      <c r="N506" s="48" t="n"/>
    </row>
    <row r="507">
      <c r="A507" s="42" t="n"/>
      <c r="B507" s="34" t="n"/>
      <c r="C507" s="34" t="n"/>
      <c r="D507" s="34" t="n"/>
      <c r="E507" s="34" t="n"/>
      <c r="F507" s="34" t="n"/>
      <c r="G507" s="34" t="n"/>
      <c r="H507" s="49" t="n"/>
      <c r="I507" s="48" t="n"/>
      <c r="J507" s="49" t="n"/>
      <c r="K507" s="49" t="n"/>
      <c r="L507" s="49" t="n"/>
      <c r="M507" s="51" t="n"/>
      <c r="N507" s="48" t="n"/>
    </row>
    <row r="508">
      <c r="A508" s="42" t="n"/>
      <c r="B508" s="34" t="n"/>
      <c r="C508" s="34" t="n"/>
      <c r="D508" s="34" t="n"/>
      <c r="E508" s="34" t="n"/>
      <c r="F508" s="34" t="n"/>
      <c r="G508" s="34" t="n"/>
      <c r="H508" s="49" t="n"/>
      <c r="I508" s="48" t="n"/>
      <c r="J508" s="49" t="n"/>
      <c r="K508" s="49" t="n"/>
      <c r="L508" s="49" t="n"/>
      <c r="M508" s="51" t="n"/>
      <c r="N508" s="48" t="n"/>
    </row>
    <row r="509">
      <c r="A509" s="42" t="n"/>
      <c r="B509" s="34" t="n"/>
      <c r="C509" s="34" t="n"/>
      <c r="D509" s="34" t="n"/>
      <c r="E509" s="34" t="n"/>
      <c r="F509" s="34" t="n"/>
      <c r="G509" s="34" t="n"/>
      <c r="H509" s="49" t="n"/>
      <c r="I509" s="48" t="n"/>
      <c r="J509" s="49" t="n"/>
      <c r="K509" s="49" t="n"/>
      <c r="L509" s="49" t="n"/>
      <c r="M509" s="51" t="n"/>
      <c r="N509" s="48" t="n"/>
    </row>
    <row r="510">
      <c r="A510" s="42" t="n"/>
      <c r="B510" s="34" t="n"/>
      <c r="C510" s="34" t="n"/>
      <c r="D510" s="34" t="n"/>
      <c r="E510" s="34" t="n"/>
      <c r="F510" s="34" t="n"/>
      <c r="G510" s="34" t="n"/>
      <c r="H510" s="49" t="n"/>
      <c r="I510" s="48" t="n"/>
      <c r="J510" s="49" t="n"/>
      <c r="K510" s="49" t="n"/>
      <c r="L510" s="49" t="n"/>
      <c r="M510" s="51" t="n"/>
      <c r="N510" s="48" t="n"/>
    </row>
    <row r="511">
      <c r="A511" s="42" t="n"/>
      <c r="B511" s="34" t="n"/>
      <c r="C511" s="34" t="n"/>
      <c r="D511" s="34" t="n"/>
      <c r="E511" s="34" t="n"/>
      <c r="F511" s="34" t="n"/>
      <c r="G511" s="34" t="n"/>
      <c r="H511" s="49" t="n"/>
      <c r="I511" s="48" t="n"/>
      <c r="J511" s="49" t="n"/>
      <c r="K511" s="49" t="n"/>
      <c r="L511" s="49" t="n"/>
      <c r="M511" s="51" t="n"/>
      <c r="N511" s="48" t="n"/>
    </row>
    <row r="512">
      <c r="A512" s="42" t="n"/>
      <c r="B512" s="34" t="n"/>
      <c r="C512" s="34" t="n"/>
      <c r="D512" s="34" t="n"/>
      <c r="E512" s="34" t="n"/>
      <c r="F512" s="34" t="n"/>
      <c r="G512" s="34" t="n"/>
      <c r="H512" s="49" t="n"/>
      <c r="I512" s="48" t="n"/>
      <c r="J512" s="49" t="n"/>
      <c r="K512" s="49" t="n"/>
      <c r="L512" s="49" t="n"/>
      <c r="M512" s="51" t="n"/>
      <c r="N512" s="48" t="n"/>
    </row>
    <row r="513">
      <c r="A513" s="42" t="n"/>
      <c r="B513" s="34" t="n"/>
      <c r="C513" s="34" t="n"/>
      <c r="D513" s="34" t="n"/>
      <c r="E513" s="34" t="n"/>
      <c r="F513" s="34" t="n"/>
      <c r="G513" s="34" t="n"/>
      <c r="H513" s="49" t="n"/>
      <c r="I513" s="48" t="n"/>
      <c r="J513" s="49" t="n"/>
      <c r="K513" s="49" t="n"/>
      <c r="L513" s="49" t="n"/>
      <c r="M513" s="51" t="n"/>
      <c r="N513" s="48" t="n"/>
    </row>
    <row r="514">
      <c r="A514" s="42" t="n"/>
      <c r="B514" s="34" t="n"/>
      <c r="C514" s="34" t="n"/>
      <c r="D514" s="34" t="n"/>
      <c r="E514" s="34" t="n"/>
      <c r="F514" s="34" t="n"/>
      <c r="G514" s="34" t="n"/>
      <c r="H514" s="49" t="n"/>
      <c r="I514" s="48" t="n"/>
      <c r="J514" s="49" t="n"/>
      <c r="K514" s="49" t="n"/>
      <c r="L514" s="49" t="n"/>
      <c r="M514" s="51" t="n"/>
      <c r="N514" s="48" t="n"/>
    </row>
    <row r="515">
      <c r="A515" s="42" t="n"/>
      <c r="B515" s="34" t="n"/>
      <c r="C515" s="34" t="n"/>
      <c r="D515" s="34" t="n"/>
      <c r="E515" s="34" t="n"/>
      <c r="F515" s="34" t="n"/>
      <c r="G515" s="34" t="n"/>
      <c r="H515" s="49" t="n"/>
      <c r="I515" s="48" t="n"/>
      <c r="J515" s="49" t="n"/>
      <c r="K515" s="49" t="n"/>
      <c r="L515" s="49" t="n"/>
      <c r="M515" s="51" t="n"/>
      <c r="N515" s="48" t="n"/>
    </row>
    <row r="516">
      <c r="A516" s="42" t="n"/>
      <c r="B516" s="34" t="n"/>
      <c r="C516" s="34" t="n"/>
      <c r="D516" s="34" t="n"/>
      <c r="E516" s="34" t="n"/>
      <c r="F516" s="34" t="n"/>
      <c r="G516" s="34" t="n"/>
      <c r="H516" s="49" t="n"/>
      <c r="I516" s="48" t="n"/>
      <c r="J516" s="49" t="n"/>
      <c r="K516" s="49" t="n"/>
      <c r="L516" s="49" t="n"/>
      <c r="M516" s="51" t="n"/>
      <c r="N516" s="48" t="n"/>
    </row>
    <row r="517">
      <c r="A517" s="42" t="n"/>
      <c r="B517" s="34" t="n"/>
      <c r="C517" s="34" t="n"/>
      <c r="D517" s="34" t="n"/>
      <c r="E517" s="34" t="n"/>
      <c r="F517" s="34" t="n"/>
      <c r="G517" s="34" t="n"/>
      <c r="H517" s="49" t="n"/>
      <c r="I517" s="48" t="n"/>
      <c r="J517" s="49" t="n"/>
      <c r="K517" s="49" t="n"/>
      <c r="L517" s="49" t="n"/>
      <c r="M517" s="51" t="n"/>
      <c r="N517" s="48" t="n"/>
    </row>
    <row r="518">
      <c r="A518" s="42" t="n"/>
      <c r="B518" s="34" t="n"/>
      <c r="C518" s="34" t="n"/>
      <c r="D518" s="34" t="n"/>
      <c r="E518" s="34" t="n"/>
      <c r="F518" s="34" t="n"/>
      <c r="G518" s="34" t="n"/>
      <c r="H518" s="49" t="n"/>
      <c r="I518" s="48" t="n"/>
      <c r="J518" s="49" t="n"/>
      <c r="K518" s="49" t="n"/>
      <c r="L518" s="49" t="n"/>
      <c r="M518" s="51" t="n"/>
      <c r="N518" s="48" t="n"/>
    </row>
    <row r="519">
      <c r="A519" s="42" t="n"/>
      <c r="B519" s="34" t="n"/>
      <c r="C519" s="34" t="n"/>
      <c r="D519" s="34" t="n"/>
      <c r="E519" s="34" t="n"/>
      <c r="F519" s="34" t="n"/>
      <c r="G519" s="34" t="n"/>
      <c r="H519" s="49" t="n"/>
      <c r="I519" s="48" t="n"/>
      <c r="J519" s="49" t="n"/>
      <c r="K519" s="49" t="n"/>
      <c r="L519" s="49" t="n"/>
      <c r="M519" s="51" t="n"/>
      <c r="N519" s="48" t="n"/>
    </row>
    <row r="520">
      <c r="A520" s="42" t="n"/>
      <c r="B520" s="34" t="n"/>
      <c r="C520" s="34" t="n"/>
      <c r="D520" s="34" t="n"/>
      <c r="E520" s="34" t="n"/>
      <c r="F520" s="34" t="n"/>
      <c r="G520" s="34" t="n"/>
      <c r="H520" s="49" t="n"/>
      <c r="I520" s="48" t="n"/>
      <c r="J520" s="49" t="n"/>
      <c r="K520" s="49" t="n"/>
      <c r="L520" s="49" t="n"/>
      <c r="M520" s="51" t="n"/>
      <c r="N520" s="48" t="n"/>
    </row>
    <row r="521">
      <c r="A521" s="42" t="n"/>
      <c r="B521" s="34" t="n"/>
      <c r="C521" s="34" t="n"/>
      <c r="D521" s="34" t="n"/>
      <c r="E521" s="34" t="n"/>
      <c r="F521" s="34" t="n"/>
      <c r="G521" s="34" t="n"/>
      <c r="H521" s="49" t="n"/>
      <c r="I521" s="48" t="n"/>
      <c r="J521" s="49" t="n"/>
      <c r="K521" s="49" t="n"/>
      <c r="L521" s="49" t="n"/>
      <c r="M521" s="51" t="n"/>
      <c r="N521" s="48" t="n"/>
    </row>
    <row r="522">
      <c r="A522" s="42" t="n"/>
      <c r="B522" s="34" t="n"/>
      <c r="C522" s="34" t="n"/>
      <c r="D522" s="34" t="n"/>
      <c r="E522" s="34" t="n"/>
      <c r="F522" s="34" t="n"/>
      <c r="G522" s="34" t="n"/>
      <c r="H522" s="49" t="n"/>
      <c r="I522" s="48" t="n"/>
      <c r="J522" s="49" t="n"/>
      <c r="K522" s="49" t="n"/>
      <c r="L522" s="49" t="n"/>
      <c r="M522" s="51" t="n"/>
      <c r="N522" s="48" t="n"/>
    </row>
    <row r="523">
      <c r="A523" s="42" t="n"/>
      <c r="B523" s="34" t="n"/>
      <c r="C523" s="34" t="n"/>
      <c r="D523" s="34" t="n"/>
      <c r="E523" s="34" t="n"/>
      <c r="F523" s="34" t="n"/>
      <c r="G523" s="34" t="n"/>
      <c r="H523" s="49" t="n"/>
      <c r="I523" s="48" t="n"/>
      <c r="J523" s="49" t="n"/>
      <c r="K523" s="49" t="n"/>
      <c r="L523" s="49" t="n"/>
      <c r="M523" s="51" t="n"/>
      <c r="N523" s="48" t="n"/>
    </row>
    <row r="524">
      <c r="A524" s="42" t="n"/>
      <c r="B524" s="34" t="n"/>
      <c r="C524" s="34" t="n"/>
      <c r="D524" s="34" t="n"/>
      <c r="E524" s="34" t="n"/>
      <c r="F524" s="34" t="n"/>
      <c r="G524" s="34" t="n"/>
      <c r="H524" s="49" t="n"/>
      <c r="I524" s="48" t="n"/>
      <c r="J524" s="49" t="n"/>
      <c r="K524" s="49" t="n"/>
      <c r="L524" s="49" t="n"/>
      <c r="M524" s="51" t="n"/>
      <c r="N524" s="48" t="n"/>
    </row>
    <row r="525">
      <c r="A525" s="42" t="n"/>
      <c r="B525" s="34" t="n"/>
      <c r="C525" s="34" t="n"/>
      <c r="D525" s="34" t="n"/>
      <c r="E525" s="34" t="n"/>
      <c r="F525" s="34" t="n"/>
      <c r="G525" s="34" t="n"/>
      <c r="H525" s="49" t="n"/>
      <c r="I525" s="48" t="n"/>
      <c r="J525" s="49" t="n"/>
      <c r="K525" s="49" t="n"/>
      <c r="L525" s="49" t="n"/>
      <c r="M525" s="51" t="n"/>
      <c r="N525" s="48" t="n"/>
    </row>
    <row r="526">
      <c r="A526" s="42" t="n"/>
      <c r="B526" s="34" t="n"/>
      <c r="C526" s="34" t="n"/>
      <c r="D526" s="34" t="n"/>
      <c r="E526" s="34" t="n"/>
      <c r="F526" s="34" t="n"/>
      <c r="G526" s="34" t="n"/>
      <c r="H526" s="49" t="n"/>
      <c r="I526" s="48" t="n"/>
      <c r="J526" s="49" t="n"/>
      <c r="K526" s="49" t="n"/>
      <c r="L526" s="49" t="n"/>
      <c r="M526" s="51" t="n"/>
      <c r="N526" s="48" t="n"/>
    </row>
    <row r="527">
      <c r="A527" s="42" t="n"/>
      <c r="B527" s="34" t="n"/>
      <c r="C527" s="34" t="n"/>
      <c r="D527" s="34" t="n"/>
      <c r="E527" s="34" t="n"/>
      <c r="F527" s="34" t="n"/>
      <c r="G527" s="34" t="n"/>
      <c r="H527" s="49" t="n"/>
      <c r="I527" s="48" t="n"/>
      <c r="J527" s="49" t="n"/>
      <c r="K527" s="49" t="n"/>
      <c r="L527" s="49" t="n"/>
      <c r="M527" s="51" t="n"/>
      <c r="N527" s="48" t="n"/>
    </row>
    <row r="528">
      <c r="A528" s="42" t="n"/>
      <c r="B528" s="34" t="n"/>
      <c r="C528" s="34" t="n"/>
      <c r="D528" s="34" t="n"/>
      <c r="E528" s="34" t="n"/>
      <c r="F528" s="34" t="n"/>
      <c r="G528" s="34" t="n"/>
      <c r="H528" s="49" t="n"/>
      <c r="I528" s="48" t="n"/>
      <c r="J528" s="49" t="n"/>
      <c r="K528" s="49" t="n"/>
      <c r="L528" s="49" t="n"/>
      <c r="M528" s="51" t="n"/>
      <c r="N528" s="48" t="n"/>
    </row>
    <row r="529">
      <c r="A529" s="42" t="n"/>
      <c r="B529" s="34" t="n"/>
      <c r="C529" s="34" t="n"/>
      <c r="D529" s="34" t="n"/>
      <c r="E529" s="34" t="n"/>
      <c r="F529" s="34" t="n"/>
      <c r="G529" s="34" t="n"/>
      <c r="H529" s="49" t="n"/>
      <c r="I529" s="48" t="n"/>
      <c r="J529" s="49" t="n"/>
      <c r="K529" s="49" t="n"/>
      <c r="L529" s="49" t="n"/>
      <c r="M529" s="51" t="n"/>
      <c r="N529" s="48" t="n"/>
    </row>
    <row r="530">
      <c r="A530" s="42" t="n"/>
      <c r="B530" s="34" t="n"/>
      <c r="C530" s="34" t="n"/>
      <c r="D530" s="34" t="n"/>
      <c r="E530" s="34" t="n"/>
      <c r="F530" s="34" t="n"/>
      <c r="G530" s="34" t="n"/>
      <c r="H530" s="49" t="n"/>
      <c r="I530" s="48" t="n"/>
      <c r="J530" s="49" t="n"/>
      <c r="K530" s="49" t="n"/>
      <c r="L530" s="49" t="n"/>
      <c r="M530" s="51" t="n"/>
      <c r="N530" s="48" t="n"/>
    </row>
    <row r="531">
      <c r="A531" s="42" t="n"/>
      <c r="B531" s="34" t="n"/>
      <c r="C531" s="34" t="n"/>
      <c r="D531" s="34" t="n"/>
      <c r="E531" s="34" t="n"/>
      <c r="F531" s="34" t="n"/>
      <c r="G531" s="34" t="n"/>
      <c r="H531" s="49" t="n"/>
      <c r="I531" s="48" t="n"/>
      <c r="J531" s="49" t="n"/>
      <c r="K531" s="49" t="n"/>
      <c r="L531" s="49" t="n"/>
      <c r="M531" s="51" t="n"/>
      <c r="N531" s="48" t="n"/>
    </row>
    <row r="532">
      <c r="A532" s="42" t="n"/>
      <c r="B532" s="34" t="n"/>
      <c r="C532" s="34" t="n"/>
      <c r="D532" s="34" t="n"/>
      <c r="E532" s="34" t="n"/>
      <c r="F532" s="34" t="n"/>
      <c r="G532" s="34" t="n"/>
      <c r="H532" s="49" t="n"/>
      <c r="I532" s="48" t="n"/>
      <c r="J532" s="49" t="n"/>
      <c r="K532" s="49" t="n"/>
      <c r="L532" s="49" t="n"/>
      <c r="M532" s="51" t="n"/>
      <c r="N532" s="48" t="n"/>
    </row>
    <row r="533">
      <c r="A533" s="42" t="n"/>
      <c r="B533" s="34" t="n"/>
      <c r="C533" s="34" t="n"/>
      <c r="D533" s="34" t="n"/>
      <c r="E533" s="34" t="n"/>
      <c r="F533" s="34" t="n"/>
      <c r="G533" s="34" t="n"/>
      <c r="H533" s="49" t="n"/>
      <c r="I533" s="48" t="n"/>
      <c r="J533" s="49" t="n"/>
      <c r="K533" s="49" t="n"/>
      <c r="L533" s="49" t="n"/>
      <c r="M533" s="51" t="n"/>
      <c r="N533" s="48" t="n"/>
    </row>
    <row r="534">
      <c r="A534" s="42" t="n"/>
      <c r="B534" s="34" t="n"/>
      <c r="C534" s="34" t="n"/>
      <c r="D534" s="34" t="n"/>
      <c r="E534" s="34" t="n"/>
      <c r="F534" s="34" t="n"/>
      <c r="G534" s="34" t="n"/>
      <c r="H534" s="49" t="n"/>
      <c r="I534" s="48" t="n"/>
      <c r="J534" s="49" t="n"/>
      <c r="K534" s="49" t="n"/>
      <c r="L534" s="49" t="n"/>
      <c r="M534" s="51" t="n"/>
      <c r="N534" s="48" t="n"/>
    </row>
    <row r="535">
      <c r="A535" s="42" t="n"/>
      <c r="B535" s="34" t="n"/>
      <c r="C535" s="34" t="n"/>
      <c r="D535" s="34" t="n"/>
      <c r="E535" s="34" t="n"/>
      <c r="F535" s="34" t="n"/>
      <c r="G535" s="34" t="n"/>
      <c r="H535" s="49" t="n"/>
      <c r="I535" s="48" t="n"/>
      <c r="J535" s="49" t="n"/>
      <c r="K535" s="49" t="n"/>
      <c r="L535" s="49" t="n"/>
      <c r="M535" s="51" t="n"/>
      <c r="N535" s="48" t="n"/>
    </row>
    <row r="536">
      <c r="A536" s="42" t="n"/>
      <c r="B536" s="34" t="n"/>
      <c r="C536" s="34" t="n"/>
      <c r="D536" s="34" t="n"/>
      <c r="E536" s="34" t="n"/>
      <c r="F536" s="34" t="n"/>
      <c r="G536" s="34" t="n"/>
      <c r="H536" s="49" t="n"/>
      <c r="I536" s="48" t="n"/>
      <c r="J536" s="49" t="n"/>
      <c r="K536" s="49" t="n"/>
      <c r="L536" s="49" t="n"/>
      <c r="M536" s="51" t="n"/>
      <c r="N536" s="48" t="n"/>
    </row>
    <row r="537">
      <c r="A537" s="42" t="n"/>
      <c r="B537" s="34" t="n"/>
      <c r="C537" s="34" t="n"/>
      <c r="D537" s="34" t="n"/>
      <c r="E537" s="34" t="n"/>
      <c r="F537" s="34" t="n"/>
      <c r="G537" s="34" t="n"/>
      <c r="H537" s="49" t="n"/>
      <c r="I537" s="48" t="n"/>
      <c r="J537" s="49" t="n"/>
      <c r="K537" s="49" t="n"/>
      <c r="L537" s="49" t="n"/>
      <c r="M537" s="51" t="n"/>
      <c r="N537" s="48" t="n"/>
    </row>
    <row r="538">
      <c r="A538" s="42" t="n"/>
      <c r="B538" s="34" t="n"/>
      <c r="C538" s="34" t="n"/>
      <c r="D538" s="34" t="n"/>
      <c r="E538" s="34" t="n"/>
      <c r="F538" s="34" t="n"/>
      <c r="G538" s="34" t="n"/>
      <c r="H538" s="49" t="n"/>
      <c r="I538" s="48" t="n"/>
      <c r="J538" s="49" t="n"/>
      <c r="K538" s="49" t="n"/>
      <c r="L538" s="49" t="n"/>
      <c r="M538" s="51" t="n"/>
      <c r="N538" s="48" t="n"/>
    </row>
    <row r="539">
      <c r="A539" s="42" t="n"/>
      <c r="B539" s="34" t="n"/>
      <c r="C539" s="34" t="n"/>
      <c r="D539" s="34" t="n"/>
      <c r="E539" s="34" t="n"/>
      <c r="F539" s="34" t="n"/>
      <c r="G539" s="34" t="n"/>
      <c r="H539" s="49" t="n"/>
      <c r="I539" s="48" t="n"/>
      <c r="J539" s="49" t="n"/>
      <c r="K539" s="49" t="n"/>
      <c r="L539" s="49" t="n"/>
      <c r="M539" s="51" t="n"/>
      <c r="N539" s="48" t="n"/>
    </row>
    <row r="540">
      <c r="A540" s="42" t="n"/>
      <c r="B540" s="34" t="n"/>
      <c r="C540" s="34" t="n"/>
      <c r="D540" s="34" t="n"/>
      <c r="E540" s="34" t="n"/>
      <c r="F540" s="34" t="n"/>
      <c r="G540" s="34" t="n"/>
      <c r="H540" s="49" t="n"/>
      <c r="I540" s="48" t="n"/>
      <c r="J540" s="49" t="n"/>
      <c r="K540" s="49" t="n"/>
      <c r="L540" s="49" t="n"/>
      <c r="M540" s="51" t="n"/>
      <c r="N540" s="48" t="n"/>
    </row>
    <row r="541">
      <c r="A541" s="42" t="n"/>
      <c r="B541" s="34" t="n"/>
      <c r="C541" s="34" t="n"/>
      <c r="D541" s="34" t="n"/>
      <c r="E541" s="34" t="n"/>
      <c r="F541" s="34" t="n"/>
      <c r="G541" s="34" t="n"/>
      <c r="H541" s="49" t="n"/>
      <c r="I541" s="48" t="n"/>
      <c r="J541" s="49" t="n"/>
      <c r="K541" s="49" t="n"/>
      <c r="L541" s="49" t="n"/>
      <c r="M541" s="51" t="n"/>
      <c r="N541" s="48" t="n"/>
    </row>
    <row r="542">
      <c r="A542" s="42" t="n"/>
      <c r="B542" s="34" t="n"/>
      <c r="C542" s="34" t="n"/>
      <c r="D542" s="34" t="n"/>
      <c r="E542" s="34" t="n"/>
      <c r="F542" s="34" t="n"/>
      <c r="G542" s="34" t="n"/>
      <c r="H542" s="49" t="n"/>
      <c r="I542" s="48" t="n"/>
      <c r="J542" s="49" t="n"/>
      <c r="K542" s="49" t="n"/>
      <c r="L542" s="49" t="n"/>
      <c r="M542" s="51" t="n"/>
      <c r="N542" s="48" t="n"/>
    </row>
    <row r="543">
      <c r="A543" s="42" t="n"/>
      <c r="B543" s="34" t="n"/>
      <c r="C543" s="34" t="n"/>
      <c r="D543" s="34" t="n"/>
      <c r="E543" s="34" t="n"/>
      <c r="F543" s="34" t="n"/>
      <c r="G543" s="34" t="n"/>
      <c r="H543" s="49" t="n"/>
      <c r="I543" s="48" t="n"/>
      <c r="J543" s="49" t="n"/>
      <c r="K543" s="49" t="n"/>
      <c r="L543" s="49" t="n"/>
      <c r="M543" s="51" t="n"/>
      <c r="N543" s="48" t="n"/>
    </row>
    <row r="544">
      <c r="A544" s="42" t="n"/>
      <c r="B544" s="34" t="n"/>
      <c r="C544" s="34" t="n"/>
      <c r="D544" s="34" t="n"/>
      <c r="E544" s="34" t="n"/>
      <c r="F544" s="34" t="n"/>
      <c r="G544" s="34" t="n"/>
      <c r="H544" s="49" t="n"/>
      <c r="I544" s="48" t="n"/>
      <c r="J544" s="49" t="n"/>
      <c r="K544" s="49" t="n"/>
      <c r="L544" s="49" t="n"/>
      <c r="M544" s="51" t="n"/>
      <c r="N544" s="48" t="n"/>
    </row>
    <row r="545">
      <c r="A545" s="42" t="n"/>
      <c r="B545" s="34" t="n"/>
      <c r="C545" s="34" t="n"/>
      <c r="D545" s="34" t="n"/>
      <c r="E545" s="34" t="n"/>
      <c r="F545" s="34" t="n"/>
      <c r="G545" s="34" t="n"/>
      <c r="H545" s="49" t="n"/>
      <c r="I545" s="48" t="n"/>
      <c r="J545" s="49" t="n"/>
      <c r="K545" s="49" t="n"/>
      <c r="L545" s="49" t="n"/>
      <c r="M545" s="51" t="n"/>
      <c r="N545" s="48" t="n"/>
    </row>
    <row r="546">
      <c r="A546" s="42" t="n"/>
      <c r="B546" s="34" t="n"/>
      <c r="C546" s="34" t="n"/>
      <c r="D546" s="34" t="n"/>
      <c r="E546" s="34" t="n"/>
      <c r="F546" s="34" t="n"/>
      <c r="G546" s="34" t="n"/>
      <c r="H546" s="49" t="n"/>
      <c r="I546" s="48" t="n"/>
      <c r="J546" s="49" t="n"/>
      <c r="K546" s="49" t="n"/>
      <c r="L546" s="49" t="n"/>
      <c r="M546" s="51" t="n"/>
      <c r="N546" s="48" t="n"/>
    </row>
    <row r="547">
      <c r="A547" s="42" t="n"/>
      <c r="B547" s="34" t="n"/>
      <c r="C547" s="34" t="n"/>
      <c r="D547" s="34" t="n"/>
      <c r="E547" s="34" t="n"/>
      <c r="F547" s="34" t="n"/>
      <c r="G547" s="34" t="n"/>
      <c r="H547" s="49" t="n"/>
      <c r="I547" s="48" t="n"/>
      <c r="J547" s="49" t="n"/>
      <c r="K547" s="49" t="n"/>
      <c r="L547" s="49" t="n"/>
      <c r="M547" s="51" t="n"/>
      <c r="N547" s="48" t="n"/>
    </row>
    <row r="548">
      <c r="A548" s="42" t="n"/>
      <c r="B548" s="34" t="n"/>
      <c r="C548" s="34" t="n"/>
      <c r="D548" s="34" t="n"/>
      <c r="E548" s="34" t="n"/>
      <c r="F548" s="34" t="n"/>
      <c r="G548" s="34" t="n"/>
      <c r="H548" s="49" t="n"/>
      <c r="I548" s="48" t="n"/>
      <c r="J548" s="49" t="n"/>
      <c r="K548" s="49" t="n"/>
      <c r="L548" s="49" t="n"/>
      <c r="M548" s="51" t="n"/>
      <c r="N548" s="48" t="n"/>
    </row>
    <row r="549">
      <c r="A549" s="42" t="n"/>
      <c r="B549" s="34" t="n"/>
      <c r="C549" s="34" t="n"/>
      <c r="D549" s="34" t="n"/>
      <c r="E549" s="34" t="n"/>
      <c r="F549" s="34" t="n"/>
      <c r="G549" s="34" t="n"/>
      <c r="H549" s="49" t="n"/>
      <c r="I549" s="48" t="n"/>
      <c r="J549" s="49" t="n"/>
      <c r="K549" s="49" t="n"/>
      <c r="L549" s="49" t="n"/>
      <c r="M549" s="51" t="n"/>
      <c r="N549" s="48" t="n"/>
    </row>
    <row r="550">
      <c r="A550" s="42" t="n"/>
      <c r="B550" s="34" t="n"/>
      <c r="C550" s="34" t="n"/>
      <c r="D550" s="34" t="n"/>
      <c r="E550" s="34" t="n"/>
      <c r="F550" s="34" t="n"/>
      <c r="G550" s="34" t="n"/>
      <c r="H550" s="49" t="n"/>
      <c r="I550" s="48" t="n"/>
      <c r="J550" s="49" t="n"/>
      <c r="K550" s="49" t="n"/>
      <c r="L550" s="49" t="n"/>
      <c r="M550" s="51" t="n"/>
      <c r="N550" s="48" t="n"/>
    </row>
    <row r="551">
      <c r="A551" s="42" t="n"/>
      <c r="B551" s="34" t="n"/>
      <c r="C551" s="34" t="n"/>
      <c r="D551" s="34" t="n"/>
      <c r="E551" s="34" t="n"/>
      <c r="F551" s="34" t="n"/>
      <c r="G551" s="34" t="n"/>
      <c r="H551" s="49" t="n"/>
      <c r="I551" s="48" t="n"/>
      <c r="J551" s="49" t="n"/>
      <c r="K551" s="49" t="n"/>
      <c r="L551" s="49" t="n"/>
      <c r="M551" s="51" t="n"/>
      <c r="N551" s="48" t="n"/>
    </row>
    <row r="552">
      <c r="A552" s="42" t="n"/>
      <c r="B552" s="34" t="n"/>
      <c r="C552" s="34" t="n"/>
      <c r="D552" s="34" t="n"/>
      <c r="E552" s="34" t="n"/>
      <c r="F552" s="34" t="n"/>
      <c r="G552" s="34" t="n"/>
      <c r="H552" s="49" t="n"/>
      <c r="I552" s="48" t="n"/>
      <c r="J552" s="49" t="n"/>
      <c r="K552" s="49" t="n"/>
      <c r="L552" s="49" t="n"/>
      <c r="M552" s="51" t="n"/>
      <c r="N552" s="48" t="n"/>
    </row>
    <row r="553">
      <c r="A553" s="42" t="n"/>
      <c r="B553" s="34" t="n"/>
      <c r="C553" s="34" t="n"/>
      <c r="D553" s="34" t="n"/>
      <c r="E553" s="34" t="n"/>
      <c r="F553" s="34" t="n"/>
      <c r="G553" s="34" t="n"/>
      <c r="H553" s="49" t="n"/>
      <c r="I553" s="48" t="n"/>
      <c r="J553" s="49" t="n"/>
      <c r="K553" s="49" t="n"/>
      <c r="L553" s="49" t="n"/>
      <c r="M553" s="51" t="n"/>
      <c r="N553" s="48" t="n"/>
    </row>
    <row r="554">
      <c r="A554" s="42" t="n"/>
      <c r="B554" s="34" t="n"/>
      <c r="C554" s="34" t="n"/>
      <c r="D554" s="34" t="n"/>
      <c r="E554" s="34" t="n"/>
      <c r="F554" s="34" t="n"/>
      <c r="G554" s="34" t="n"/>
      <c r="H554" s="49" t="n"/>
      <c r="I554" s="48" t="n"/>
      <c r="J554" s="49" t="n"/>
      <c r="K554" s="49" t="n"/>
      <c r="L554" s="49" t="n"/>
      <c r="M554" s="51" t="n"/>
      <c r="N554" s="48" t="n"/>
    </row>
    <row r="555">
      <c r="A555" s="42" t="n"/>
      <c r="B555" s="34" t="n"/>
      <c r="C555" s="34" t="n"/>
      <c r="D555" s="34" t="n"/>
      <c r="E555" s="34" t="n"/>
      <c r="F555" s="34" t="n"/>
      <c r="G555" s="34" t="n"/>
      <c r="H555" s="49" t="n"/>
      <c r="I555" s="48" t="n"/>
      <c r="J555" s="49" t="n"/>
      <c r="K555" s="49" t="n"/>
      <c r="L555" s="49" t="n"/>
      <c r="M555" s="51" t="n"/>
      <c r="N555" s="48" t="n"/>
    </row>
    <row r="556">
      <c r="A556" s="42" t="n"/>
      <c r="B556" s="34" t="n"/>
      <c r="C556" s="34" t="n"/>
      <c r="D556" s="34" t="n"/>
      <c r="E556" s="34" t="n"/>
      <c r="F556" s="34" t="n"/>
      <c r="G556" s="34" t="n"/>
      <c r="H556" s="49" t="n"/>
      <c r="I556" s="48" t="n"/>
      <c r="J556" s="49" t="n"/>
      <c r="K556" s="49" t="n"/>
      <c r="L556" s="49" t="n"/>
      <c r="M556" s="51" t="n"/>
      <c r="N556" s="48" t="n"/>
    </row>
    <row r="557">
      <c r="A557" s="42" t="n"/>
      <c r="B557" s="34" t="n"/>
      <c r="C557" s="34" t="n"/>
      <c r="D557" s="34" t="n"/>
      <c r="E557" s="34" t="n"/>
      <c r="F557" s="34" t="n"/>
      <c r="G557" s="34" t="n"/>
      <c r="H557" s="49" t="n"/>
      <c r="I557" s="48" t="n"/>
      <c r="J557" s="49" t="n"/>
      <c r="K557" s="49" t="n"/>
      <c r="L557" s="49" t="n"/>
      <c r="M557" s="51" t="n"/>
      <c r="N557" s="48" t="n"/>
    </row>
    <row r="558">
      <c r="A558" s="42" t="n"/>
      <c r="B558" s="34" t="n"/>
      <c r="C558" s="34" t="n"/>
      <c r="D558" s="34" t="n"/>
      <c r="E558" s="34" t="n"/>
      <c r="F558" s="34" t="n"/>
      <c r="G558" s="34" t="n"/>
      <c r="H558" s="49" t="n"/>
      <c r="I558" s="48" t="n"/>
      <c r="J558" s="49" t="n"/>
      <c r="K558" s="49" t="n"/>
      <c r="L558" s="49" t="n"/>
      <c r="M558" s="51" t="n"/>
      <c r="N558" s="48" t="n"/>
    </row>
    <row r="559">
      <c r="A559" s="42" t="n"/>
      <c r="B559" s="34" t="n"/>
      <c r="C559" s="34" t="n"/>
      <c r="D559" s="34" t="n"/>
      <c r="E559" s="34" t="n"/>
      <c r="F559" s="34" t="n"/>
      <c r="G559" s="34" t="n"/>
      <c r="H559" s="49" t="n"/>
      <c r="I559" s="48" t="n"/>
      <c r="J559" s="49" t="n"/>
      <c r="K559" s="49" t="n"/>
      <c r="L559" s="49" t="n"/>
      <c r="M559" s="51" t="n"/>
      <c r="N559" s="48" t="n"/>
    </row>
    <row r="560">
      <c r="A560" s="42" t="n"/>
      <c r="B560" s="34" t="n"/>
      <c r="C560" s="34" t="n"/>
      <c r="D560" s="34" t="n"/>
      <c r="E560" s="34" t="n"/>
      <c r="F560" s="34" t="n"/>
      <c r="G560" s="34" t="n"/>
      <c r="H560" s="49" t="n"/>
      <c r="I560" s="48" t="n"/>
      <c r="J560" s="49" t="n"/>
      <c r="K560" s="49" t="n"/>
      <c r="L560" s="49" t="n"/>
      <c r="M560" s="51" t="n"/>
      <c r="N560" s="48" t="n"/>
    </row>
    <row r="561">
      <c r="A561" s="42" t="n"/>
      <c r="B561" s="34" t="n"/>
      <c r="C561" s="34" t="n"/>
      <c r="D561" s="34" t="n"/>
      <c r="E561" s="34" t="n"/>
      <c r="F561" s="34" t="n"/>
      <c r="G561" s="34" t="n"/>
      <c r="H561" s="49" t="n"/>
      <c r="I561" s="48" t="n"/>
      <c r="J561" s="49" t="n"/>
      <c r="K561" s="49" t="n"/>
      <c r="L561" s="49" t="n"/>
      <c r="M561" s="51" t="n"/>
      <c r="N561" s="48" t="n"/>
    </row>
    <row r="562">
      <c r="A562" s="42" t="n"/>
      <c r="B562" s="34" t="n"/>
      <c r="C562" s="34" t="n"/>
      <c r="D562" s="34" t="n"/>
      <c r="E562" s="34" t="n"/>
      <c r="F562" s="34" t="n"/>
      <c r="G562" s="34" t="n"/>
      <c r="H562" s="49" t="n"/>
      <c r="I562" s="48" t="n"/>
      <c r="J562" s="49" t="n"/>
      <c r="K562" s="49" t="n"/>
      <c r="L562" s="49" t="n"/>
      <c r="M562" s="51" t="n"/>
      <c r="N562" s="48" t="n"/>
    </row>
    <row r="563">
      <c r="A563" s="42" t="n"/>
      <c r="B563" s="34" t="n"/>
      <c r="C563" s="34" t="n"/>
      <c r="D563" s="34" t="n"/>
      <c r="E563" s="34" t="n"/>
      <c r="F563" s="34" t="n"/>
      <c r="G563" s="34" t="n"/>
      <c r="H563" s="49" t="n"/>
      <c r="I563" s="48" t="n"/>
      <c r="J563" s="49" t="n"/>
      <c r="K563" s="49" t="n"/>
      <c r="L563" s="49" t="n"/>
      <c r="M563" s="51" t="n"/>
      <c r="N563" s="48" t="n"/>
    </row>
    <row r="564">
      <c r="A564" s="42" t="n"/>
      <c r="B564" s="34" t="n"/>
      <c r="C564" s="34" t="n"/>
      <c r="D564" s="34" t="n"/>
      <c r="E564" s="34" t="n"/>
      <c r="F564" s="34" t="n"/>
      <c r="G564" s="34" t="n"/>
      <c r="H564" s="49" t="n"/>
      <c r="I564" s="48" t="n"/>
      <c r="J564" s="49" t="n"/>
      <c r="K564" s="49" t="n"/>
      <c r="L564" s="49" t="n"/>
      <c r="M564" s="51" t="n"/>
      <c r="N564" s="48" t="n"/>
    </row>
    <row r="565">
      <c r="A565" s="42" t="n"/>
      <c r="B565" s="34" t="n"/>
      <c r="C565" s="34" t="n"/>
      <c r="D565" s="34" t="n"/>
      <c r="E565" s="34" t="n"/>
      <c r="F565" s="34" t="n"/>
      <c r="G565" s="34" t="n"/>
      <c r="H565" s="49" t="n"/>
      <c r="I565" s="48" t="n"/>
      <c r="J565" s="49" t="n"/>
      <c r="K565" s="49" t="n"/>
      <c r="L565" s="49" t="n"/>
      <c r="M565" s="51" t="n"/>
      <c r="N565" s="48" t="n"/>
    </row>
    <row r="566">
      <c r="A566" s="42" t="n"/>
      <c r="B566" s="34" t="n"/>
      <c r="C566" s="34" t="n"/>
      <c r="D566" s="34" t="n"/>
      <c r="E566" s="34" t="n"/>
      <c r="F566" s="34" t="n"/>
      <c r="G566" s="34" t="n"/>
      <c r="H566" s="49" t="n"/>
      <c r="I566" s="48" t="n"/>
      <c r="J566" s="49" t="n"/>
      <c r="K566" s="49" t="n"/>
      <c r="L566" s="49" t="n"/>
      <c r="M566" s="51" t="n"/>
      <c r="N566" s="48" t="n"/>
    </row>
    <row r="567">
      <c r="A567" s="42" t="n"/>
      <c r="B567" s="34" t="n"/>
      <c r="C567" s="34" t="n"/>
      <c r="D567" s="34" t="n"/>
      <c r="E567" s="34" t="n"/>
      <c r="F567" s="34" t="n"/>
      <c r="G567" s="34" t="n"/>
      <c r="H567" s="49" t="n"/>
      <c r="I567" s="48" t="n"/>
      <c r="J567" s="49" t="n"/>
      <c r="K567" s="49" t="n"/>
      <c r="L567" s="49" t="n"/>
      <c r="M567" s="51" t="n"/>
      <c r="N567" s="48" t="n"/>
    </row>
    <row r="568">
      <c r="A568" s="42" t="n"/>
      <c r="B568" s="34" t="n"/>
      <c r="C568" s="34" t="n"/>
      <c r="D568" s="34" t="n"/>
      <c r="E568" s="34" t="n"/>
      <c r="F568" s="34" t="n"/>
      <c r="G568" s="34" t="n"/>
      <c r="H568" s="49" t="n"/>
      <c r="I568" s="48" t="n"/>
      <c r="J568" s="49" t="n"/>
      <c r="K568" s="49" t="n"/>
      <c r="L568" s="49" t="n"/>
      <c r="M568" s="51" t="n"/>
      <c r="N568" s="48" t="n"/>
    </row>
    <row r="569">
      <c r="A569" s="42" t="n"/>
      <c r="B569" s="34" t="n"/>
      <c r="C569" s="34" t="n"/>
      <c r="D569" s="34" t="n"/>
      <c r="E569" s="34" t="n"/>
      <c r="F569" s="34" t="n"/>
      <c r="G569" s="34" t="n"/>
      <c r="H569" s="49" t="n"/>
      <c r="I569" s="48" t="n"/>
      <c r="J569" s="49" t="n"/>
      <c r="K569" s="49" t="n"/>
      <c r="L569" s="49" t="n"/>
      <c r="M569" s="51" t="n"/>
      <c r="N569" s="48" t="n"/>
    </row>
    <row r="570">
      <c r="A570" s="42" t="n"/>
      <c r="B570" s="34" t="n"/>
      <c r="C570" s="34" t="n"/>
      <c r="D570" s="34" t="n"/>
      <c r="E570" s="34" t="n"/>
      <c r="F570" s="34" t="n"/>
      <c r="G570" s="34" t="n"/>
      <c r="H570" s="49" t="n"/>
      <c r="I570" s="48" t="n"/>
      <c r="J570" s="49" t="n"/>
      <c r="K570" s="49" t="n"/>
      <c r="L570" s="49" t="n"/>
      <c r="M570" s="51" t="n"/>
      <c r="N570" s="48" t="n"/>
    </row>
    <row r="571">
      <c r="A571" s="42" t="n"/>
      <c r="B571" s="34" t="n"/>
      <c r="C571" s="34" t="n"/>
      <c r="D571" s="34" t="n"/>
      <c r="E571" s="34" t="n"/>
      <c r="F571" s="34" t="n"/>
      <c r="G571" s="34" t="n"/>
      <c r="H571" s="49" t="n"/>
      <c r="I571" s="48" t="n"/>
      <c r="J571" s="49" t="n"/>
      <c r="K571" s="49" t="n"/>
      <c r="L571" s="49" t="n"/>
      <c r="M571" s="51" t="n"/>
      <c r="N571" s="48" t="n"/>
    </row>
    <row r="572">
      <c r="A572" s="42" t="n"/>
      <c r="B572" s="34" t="n"/>
      <c r="C572" s="34" t="n"/>
      <c r="D572" s="34" t="n"/>
      <c r="E572" s="34" t="n"/>
      <c r="F572" s="34" t="n"/>
      <c r="G572" s="34" t="n"/>
      <c r="H572" s="49" t="n"/>
      <c r="I572" s="48" t="n"/>
      <c r="J572" s="49" t="n"/>
      <c r="K572" s="49" t="n"/>
      <c r="L572" s="49" t="n"/>
      <c r="M572" s="51" t="n"/>
      <c r="N572" s="48" t="n"/>
    </row>
    <row r="573">
      <c r="A573" s="42" t="n"/>
      <c r="B573" s="34" t="n"/>
      <c r="C573" s="34" t="n"/>
      <c r="D573" s="34" t="n"/>
      <c r="E573" s="34" t="n"/>
      <c r="F573" s="34" t="n"/>
      <c r="G573" s="34" t="n"/>
      <c r="H573" s="49" t="n"/>
      <c r="I573" s="48" t="n"/>
      <c r="J573" s="49" t="n"/>
      <c r="K573" s="49" t="n"/>
      <c r="L573" s="49" t="n"/>
      <c r="M573" s="51" t="n"/>
      <c r="N573" s="48" t="n"/>
    </row>
    <row r="574">
      <c r="A574" s="42" t="n"/>
      <c r="B574" s="34" t="n"/>
      <c r="C574" s="34" t="n"/>
      <c r="D574" s="34" t="n"/>
      <c r="E574" s="34" t="n"/>
      <c r="F574" s="34" t="n"/>
      <c r="G574" s="34" t="n"/>
      <c r="H574" s="49" t="n"/>
      <c r="I574" s="48" t="n"/>
      <c r="J574" s="49" t="n"/>
      <c r="K574" s="49" t="n"/>
      <c r="L574" s="49" t="n"/>
      <c r="M574" s="51" t="n"/>
      <c r="N574" s="48" t="n"/>
    </row>
    <row r="575">
      <c r="A575" s="42" t="n"/>
      <c r="B575" s="34" t="n"/>
      <c r="C575" s="34" t="n"/>
      <c r="D575" s="34" t="n"/>
      <c r="E575" s="34" t="n"/>
      <c r="F575" s="34" t="n"/>
      <c r="G575" s="34" t="n"/>
      <c r="H575" s="49" t="n"/>
      <c r="I575" s="48" t="n"/>
      <c r="J575" s="49" t="n"/>
      <c r="K575" s="49" t="n"/>
      <c r="L575" s="49" t="n"/>
      <c r="M575" s="51" t="n"/>
      <c r="N575" s="48" t="n"/>
    </row>
    <row r="576">
      <c r="A576" s="42" t="n"/>
      <c r="B576" s="34" t="n"/>
      <c r="C576" s="34" t="n"/>
      <c r="D576" s="34" t="n"/>
      <c r="E576" s="34" t="n"/>
      <c r="F576" s="34" t="n"/>
      <c r="G576" s="34" t="n"/>
      <c r="H576" s="49" t="n"/>
      <c r="I576" s="48" t="n"/>
      <c r="J576" s="49" t="n"/>
      <c r="K576" s="49" t="n"/>
      <c r="L576" s="49" t="n"/>
      <c r="M576" s="51" t="n"/>
      <c r="N576" s="48" t="n"/>
    </row>
    <row r="577">
      <c r="A577" s="42" t="n"/>
      <c r="B577" s="34" t="n"/>
      <c r="C577" s="34" t="n"/>
      <c r="D577" s="34" t="n"/>
      <c r="E577" s="34" t="n"/>
      <c r="F577" s="34" t="n"/>
      <c r="G577" s="34" t="n"/>
      <c r="H577" s="49" t="n"/>
      <c r="I577" s="48" t="n"/>
      <c r="J577" s="49" t="n"/>
      <c r="K577" s="49" t="n"/>
      <c r="L577" s="49" t="n"/>
      <c r="M577" s="51" t="n"/>
      <c r="N577" s="48" t="n"/>
    </row>
    <row r="578">
      <c r="A578" s="42" t="n"/>
      <c r="B578" s="34" t="n"/>
      <c r="C578" s="34" t="n"/>
      <c r="D578" s="34" t="n"/>
      <c r="E578" s="34" t="n"/>
      <c r="F578" s="34" t="n"/>
      <c r="G578" s="34" t="n"/>
      <c r="H578" s="49" t="n"/>
      <c r="I578" s="48" t="n"/>
      <c r="J578" s="49" t="n"/>
      <c r="K578" s="49" t="n"/>
      <c r="L578" s="49" t="n"/>
      <c r="M578" s="51" t="n"/>
      <c r="N578" s="48" t="n"/>
    </row>
    <row r="579">
      <c r="A579" s="42" t="n"/>
      <c r="B579" s="34" t="n"/>
      <c r="C579" s="34" t="n"/>
      <c r="D579" s="34" t="n"/>
      <c r="E579" s="34" t="n"/>
      <c r="F579" s="34" t="n"/>
      <c r="G579" s="34" t="n"/>
      <c r="H579" s="49" t="n"/>
      <c r="I579" s="48" t="n"/>
      <c r="J579" s="49" t="n"/>
      <c r="K579" s="49" t="n"/>
      <c r="L579" s="49" t="n"/>
      <c r="M579" s="51" t="n"/>
      <c r="N579" s="48" t="n"/>
    </row>
    <row r="580">
      <c r="A580" s="42" t="n"/>
      <c r="B580" s="34" t="n"/>
      <c r="C580" s="34" t="n"/>
      <c r="D580" s="34" t="n"/>
      <c r="E580" s="34" t="n"/>
      <c r="F580" s="34" t="n"/>
      <c r="G580" s="34" t="n"/>
      <c r="H580" s="49" t="n"/>
      <c r="I580" s="48" t="n"/>
      <c r="J580" s="49" t="n"/>
      <c r="K580" s="49" t="n"/>
      <c r="L580" s="49" t="n"/>
      <c r="M580" s="51" t="n"/>
      <c r="N580" s="48" t="n"/>
    </row>
    <row r="581">
      <c r="A581" s="42" t="n"/>
      <c r="B581" s="34" t="n"/>
      <c r="C581" s="34" t="n"/>
      <c r="D581" s="34" t="n"/>
      <c r="E581" s="34" t="n"/>
      <c r="F581" s="34" t="n"/>
      <c r="G581" s="34" t="n"/>
      <c r="H581" s="49" t="n"/>
      <c r="I581" s="48" t="n"/>
      <c r="J581" s="49" t="n"/>
      <c r="K581" s="49" t="n"/>
      <c r="L581" s="49" t="n"/>
      <c r="M581" s="51" t="n"/>
      <c r="N581" s="48" t="n"/>
    </row>
    <row r="582">
      <c r="A582" s="42" t="n"/>
      <c r="B582" s="34" t="n"/>
      <c r="C582" s="34" t="n"/>
      <c r="D582" s="34" t="n"/>
      <c r="E582" s="34" t="n"/>
      <c r="F582" s="34" t="n"/>
      <c r="G582" s="34" t="n"/>
      <c r="H582" s="49" t="n"/>
      <c r="I582" s="48" t="n"/>
      <c r="J582" s="49" t="n"/>
      <c r="K582" s="49" t="n"/>
      <c r="L582" s="49" t="n"/>
      <c r="M582" s="51" t="n"/>
      <c r="N582" s="48" t="n"/>
    </row>
    <row r="583">
      <c r="A583" s="42" t="n"/>
      <c r="B583" s="34" t="n"/>
      <c r="C583" s="34" t="n"/>
      <c r="D583" s="34" t="n"/>
      <c r="E583" s="34" t="n"/>
      <c r="F583" s="34" t="n"/>
      <c r="G583" s="34" t="n"/>
      <c r="H583" s="49" t="n"/>
      <c r="I583" s="48" t="n"/>
      <c r="J583" s="49" t="n"/>
      <c r="K583" s="49" t="n"/>
      <c r="L583" s="49" t="n"/>
      <c r="M583" s="51" t="n"/>
      <c r="N583" s="48" t="n"/>
    </row>
    <row r="584">
      <c r="A584" s="42" t="n"/>
      <c r="B584" s="34" t="n"/>
      <c r="C584" s="34" t="n"/>
      <c r="D584" s="34" t="n"/>
      <c r="E584" s="34" t="n"/>
      <c r="F584" s="34" t="n"/>
      <c r="G584" s="34" t="n"/>
      <c r="H584" s="49" t="n"/>
      <c r="I584" s="48" t="n"/>
      <c r="J584" s="49" t="n"/>
      <c r="K584" s="49" t="n"/>
      <c r="L584" s="49" t="n"/>
      <c r="M584" s="51" t="n"/>
      <c r="N584" s="48" t="n"/>
    </row>
    <row r="585">
      <c r="A585" s="42" t="n"/>
      <c r="B585" s="34" t="n"/>
      <c r="C585" s="34" t="n"/>
      <c r="D585" s="34" t="n"/>
      <c r="E585" s="34" t="n"/>
      <c r="F585" s="34" t="n"/>
      <c r="G585" s="34" t="n"/>
      <c r="H585" s="49" t="n"/>
      <c r="I585" s="48" t="n"/>
      <c r="J585" s="49" t="n"/>
      <c r="K585" s="49" t="n"/>
      <c r="L585" s="49" t="n"/>
      <c r="M585" s="51" t="n"/>
      <c r="N585" s="48" t="n"/>
    </row>
    <row r="586">
      <c r="A586" s="42" t="n"/>
      <c r="B586" s="34" t="n"/>
      <c r="C586" s="34" t="n"/>
      <c r="D586" s="34" t="n"/>
      <c r="E586" s="34" t="n"/>
      <c r="F586" s="34" t="n"/>
      <c r="G586" s="34" t="n"/>
      <c r="H586" s="49" t="n"/>
      <c r="I586" s="48" t="n"/>
      <c r="J586" s="49" t="n"/>
      <c r="K586" s="49" t="n"/>
      <c r="L586" s="49" t="n"/>
      <c r="M586" s="51" t="n"/>
      <c r="N586" s="48" t="n"/>
    </row>
    <row r="587">
      <c r="A587" s="42" t="n"/>
      <c r="B587" s="34" t="n"/>
      <c r="C587" s="34" t="n"/>
      <c r="D587" s="34" t="n"/>
      <c r="E587" s="34" t="n"/>
      <c r="F587" s="34" t="n"/>
      <c r="G587" s="34" t="n"/>
      <c r="H587" s="49" t="n"/>
      <c r="I587" s="48" t="n"/>
      <c r="J587" s="49" t="n"/>
      <c r="K587" s="49" t="n"/>
      <c r="L587" s="49" t="n"/>
      <c r="M587" s="51" t="n"/>
      <c r="N587" s="48" t="n"/>
    </row>
    <row r="588">
      <c r="A588" s="42" t="n"/>
      <c r="B588" s="34" t="n"/>
      <c r="C588" s="34" t="n"/>
      <c r="D588" s="34" t="n"/>
      <c r="E588" s="34" t="n"/>
      <c r="F588" s="34" t="n"/>
      <c r="G588" s="34" t="n"/>
      <c r="H588" s="49" t="n"/>
      <c r="I588" s="48" t="n"/>
      <c r="J588" s="49" t="n"/>
      <c r="K588" s="49" t="n"/>
      <c r="L588" s="49" t="n"/>
      <c r="M588" s="51" t="n"/>
      <c r="N588" s="48" t="n"/>
    </row>
    <row r="589">
      <c r="A589" s="42" t="n"/>
      <c r="B589" s="34" t="n"/>
      <c r="C589" s="34" t="n"/>
      <c r="D589" s="34" t="n"/>
      <c r="E589" s="34" t="n"/>
      <c r="F589" s="34" t="n"/>
      <c r="G589" s="34" t="n"/>
      <c r="H589" s="49" t="n"/>
      <c r="I589" s="48" t="n"/>
      <c r="J589" s="49" t="n"/>
      <c r="K589" s="49" t="n"/>
      <c r="L589" s="49" t="n"/>
      <c r="M589" s="51" t="n"/>
      <c r="N589" s="48" t="n"/>
    </row>
    <row r="590">
      <c r="A590" s="42" t="n"/>
      <c r="B590" s="34" t="n"/>
      <c r="C590" s="34" t="n"/>
      <c r="D590" s="34" t="n"/>
      <c r="E590" s="34" t="n"/>
      <c r="F590" s="34" t="n"/>
      <c r="G590" s="34" t="n"/>
      <c r="H590" s="49" t="n"/>
      <c r="I590" s="48" t="n"/>
      <c r="J590" s="49" t="n"/>
      <c r="K590" s="49" t="n"/>
      <c r="L590" s="49" t="n"/>
      <c r="M590" s="51" t="n"/>
      <c r="N590" s="48" t="n"/>
    </row>
    <row r="591">
      <c r="A591" s="42" t="n"/>
      <c r="B591" s="34" t="n"/>
      <c r="C591" s="34" t="n"/>
      <c r="D591" s="34" t="n"/>
      <c r="E591" s="34" t="n"/>
      <c r="F591" s="34" t="n"/>
      <c r="G591" s="34" t="n"/>
      <c r="H591" s="49" t="n"/>
      <c r="I591" s="48" t="n"/>
      <c r="J591" s="49" t="n"/>
      <c r="K591" s="49" t="n"/>
      <c r="L591" s="49" t="n"/>
      <c r="M591" s="51" t="n"/>
      <c r="N591" s="48" t="n"/>
    </row>
    <row r="592">
      <c r="A592" s="42" t="n"/>
      <c r="B592" s="34" t="n"/>
      <c r="C592" s="34" t="n"/>
      <c r="D592" s="34" t="n"/>
      <c r="E592" s="34" t="n"/>
      <c r="F592" s="34" t="n"/>
      <c r="G592" s="34" t="n"/>
      <c r="H592" s="49" t="n"/>
      <c r="I592" s="48" t="n"/>
      <c r="J592" s="49" t="n"/>
      <c r="K592" s="49" t="n"/>
      <c r="L592" s="49" t="n"/>
      <c r="M592" s="51" t="n"/>
      <c r="N592" s="48" t="n"/>
    </row>
    <row r="593">
      <c r="A593" s="42" t="n"/>
      <c r="B593" s="34" t="n"/>
      <c r="C593" s="34" t="n"/>
      <c r="D593" s="34" t="n"/>
      <c r="E593" s="34" t="n"/>
      <c r="F593" s="34" t="n"/>
      <c r="G593" s="34" t="n"/>
      <c r="H593" s="49" t="n"/>
      <c r="I593" s="48" t="n"/>
      <c r="J593" s="49" t="n"/>
      <c r="K593" s="49" t="n"/>
      <c r="L593" s="49" t="n"/>
      <c r="M593" s="51" t="n"/>
      <c r="N593" s="48" t="n"/>
    </row>
    <row r="594">
      <c r="A594" s="42" t="n"/>
      <c r="B594" s="34" t="n"/>
      <c r="C594" s="34" t="n"/>
      <c r="D594" s="34" t="n"/>
      <c r="E594" s="34" t="n"/>
      <c r="F594" s="34" t="n"/>
      <c r="G594" s="34" t="n"/>
      <c r="H594" s="49" t="n"/>
      <c r="I594" s="48" t="n"/>
      <c r="J594" s="49" t="n"/>
      <c r="K594" s="49" t="n"/>
      <c r="L594" s="49" t="n"/>
      <c r="M594" s="51" t="n"/>
      <c r="N594" s="48" t="n"/>
    </row>
    <row r="595">
      <c r="A595" s="42" t="n"/>
      <c r="B595" s="34" t="n"/>
      <c r="C595" s="34" t="n"/>
      <c r="D595" s="34" t="n"/>
      <c r="E595" s="34" t="n"/>
      <c r="F595" s="34" t="n"/>
      <c r="G595" s="34" t="n"/>
      <c r="H595" s="49" t="n"/>
      <c r="I595" s="48" t="n"/>
      <c r="J595" s="49" t="n"/>
      <c r="K595" s="49" t="n"/>
      <c r="L595" s="49" t="n"/>
      <c r="M595" s="51" t="n"/>
      <c r="N595" s="48" t="n"/>
    </row>
    <row r="596">
      <c r="A596" s="42" t="n"/>
      <c r="B596" s="34" t="n"/>
      <c r="C596" s="34" t="n"/>
      <c r="D596" s="34" t="n"/>
      <c r="E596" s="34" t="n"/>
      <c r="F596" s="34" t="n"/>
      <c r="G596" s="34" t="n"/>
      <c r="H596" s="49" t="n"/>
      <c r="I596" s="48" t="n"/>
      <c r="J596" s="49" t="n"/>
      <c r="K596" s="49" t="n"/>
      <c r="L596" s="49" t="n"/>
      <c r="M596" s="51" t="n"/>
      <c r="N596" s="48" t="n"/>
    </row>
    <row r="597">
      <c r="A597" s="42" t="n"/>
      <c r="B597" s="34" t="n"/>
      <c r="C597" s="34" t="n"/>
      <c r="D597" s="34" t="n"/>
      <c r="E597" s="34" t="n"/>
      <c r="F597" s="34" t="n"/>
      <c r="G597" s="34" t="n"/>
      <c r="H597" s="49" t="n"/>
      <c r="I597" s="48" t="n"/>
      <c r="J597" s="49" t="n"/>
      <c r="K597" s="49" t="n"/>
      <c r="L597" s="49" t="n"/>
      <c r="M597" s="51" t="n"/>
      <c r="N597" s="48" t="n"/>
    </row>
    <row r="598">
      <c r="A598" s="42" t="n"/>
      <c r="B598" s="34" t="n"/>
      <c r="C598" s="34" t="n"/>
      <c r="D598" s="34" t="n"/>
      <c r="E598" s="34" t="n"/>
      <c r="F598" s="34" t="n"/>
      <c r="G598" s="34" t="n"/>
      <c r="H598" s="49" t="n"/>
      <c r="I598" s="48" t="n"/>
      <c r="J598" s="49" t="n"/>
      <c r="K598" s="49" t="n"/>
      <c r="L598" s="49" t="n"/>
      <c r="M598" s="51" t="n"/>
      <c r="N598" s="48" t="n"/>
    </row>
    <row r="599">
      <c r="A599" s="42" t="n"/>
      <c r="B599" s="34" t="n"/>
      <c r="C599" s="34" t="n"/>
      <c r="D599" s="34" t="n"/>
      <c r="E599" s="34" t="n"/>
      <c r="F599" s="34" t="n"/>
      <c r="G599" s="34" t="n"/>
      <c r="H599" s="49" t="n"/>
      <c r="I599" s="48" t="n"/>
      <c r="J599" s="49" t="n"/>
      <c r="K599" s="49" t="n"/>
      <c r="L599" s="49" t="n"/>
      <c r="M599" s="51" t="n"/>
      <c r="N599" s="48" t="n"/>
    </row>
    <row r="600">
      <c r="A600" s="42" t="n"/>
      <c r="B600" s="34" t="n"/>
      <c r="C600" s="34" t="n"/>
      <c r="D600" s="34" t="n"/>
      <c r="E600" s="34" t="n"/>
      <c r="F600" s="34" t="n"/>
      <c r="G600" s="34" t="n"/>
      <c r="H600" s="49" t="n"/>
      <c r="I600" s="48" t="n"/>
      <c r="J600" s="49" t="n"/>
      <c r="K600" s="49" t="n"/>
      <c r="L600" s="49" t="n"/>
      <c r="M600" s="51" t="n"/>
      <c r="N600" s="48" t="n"/>
    </row>
    <row r="601">
      <c r="A601" s="42" t="n"/>
      <c r="B601" s="34" t="n"/>
      <c r="C601" s="34" t="n"/>
      <c r="D601" s="34" t="n"/>
      <c r="E601" s="34" t="n"/>
      <c r="F601" s="34" t="n"/>
      <c r="G601" s="34" t="n"/>
      <c r="H601" s="49" t="n"/>
      <c r="I601" s="48" t="n"/>
      <c r="J601" s="49" t="n"/>
      <c r="K601" s="49" t="n"/>
      <c r="L601" s="49" t="n"/>
      <c r="M601" s="51" t="n"/>
      <c r="N601" s="48" t="n"/>
    </row>
    <row r="602">
      <c r="A602" s="42" t="n"/>
      <c r="B602" s="34" t="n"/>
      <c r="C602" s="34" t="n"/>
      <c r="D602" s="34" t="n"/>
      <c r="E602" s="34" t="n"/>
      <c r="F602" s="34" t="n"/>
      <c r="G602" s="34" t="n"/>
      <c r="H602" s="49" t="n"/>
      <c r="I602" s="48" t="n"/>
      <c r="J602" s="49" t="n"/>
      <c r="K602" s="49" t="n"/>
      <c r="L602" s="49" t="n"/>
      <c r="M602" s="51" t="n"/>
      <c r="N602" s="48" t="n"/>
    </row>
    <row r="603">
      <c r="A603" s="42" t="n"/>
      <c r="B603" s="34" t="n"/>
      <c r="C603" s="34" t="n"/>
      <c r="D603" s="34" t="n"/>
      <c r="E603" s="34" t="n"/>
      <c r="F603" s="34" t="n"/>
      <c r="G603" s="34" t="n"/>
      <c r="H603" s="49" t="n"/>
      <c r="I603" s="48" t="n"/>
      <c r="J603" s="49" t="n"/>
      <c r="K603" s="49" t="n"/>
      <c r="L603" s="49" t="n"/>
      <c r="M603" s="51" t="n"/>
      <c r="N603" s="48" t="n"/>
    </row>
    <row r="604">
      <c r="A604" s="42" t="n"/>
      <c r="B604" s="34" t="n"/>
      <c r="C604" s="34" t="n"/>
      <c r="D604" s="34" t="n"/>
      <c r="E604" s="34" t="n"/>
      <c r="F604" s="34" t="n"/>
      <c r="G604" s="34" t="n"/>
      <c r="H604" s="49" t="n"/>
      <c r="I604" s="48" t="n"/>
      <c r="J604" s="49" t="n"/>
      <c r="K604" s="49" t="n"/>
      <c r="L604" s="49" t="n"/>
      <c r="M604" s="51" t="n"/>
      <c r="N604" s="48" t="n"/>
    </row>
    <row r="605">
      <c r="A605" s="42" t="n"/>
      <c r="B605" s="34" t="n"/>
      <c r="C605" s="34" t="n"/>
      <c r="D605" s="34" t="n"/>
      <c r="E605" s="34" t="n"/>
      <c r="F605" s="34" t="n"/>
      <c r="G605" s="34" t="n"/>
      <c r="H605" s="49" t="n"/>
      <c r="I605" s="48" t="n"/>
      <c r="J605" s="49" t="n"/>
      <c r="K605" s="49" t="n"/>
      <c r="L605" s="49" t="n"/>
      <c r="M605" s="51" t="n"/>
      <c r="N605" s="48" t="n"/>
    </row>
    <row r="606">
      <c r="A606" s="42" t="n"/>
      <c r="B606" s="34" t="n"/>
      <c r="C606" s="34" t="n"/>
      <c r="D606" s="34" t="n"/>
      <c r="E606" s="34" t="n"/>
      <c r="F606" s="34" t="n"/>
      <c r="G606" s="34" t="n"/>
      <c r="H606" s="49" t="n"/>
      <c r="I606" s="48" t="n"/>
      <c r="J606" s="49" t="n"/>
      <c r="K606" s="49" t="n"/>
      <c r="L606" s="49" t="n"/>
      <c r="M606" s="51" t="n"/>
      <c r="N606" s="48" t="n"/>
    </row>
    <row r="607">
      <c r="A607" s="42" t="n"/>
      <c r="B607" s="34" t="n"/>
      <c r="C607" s="34" t="n"/>
      <c r="D607" s="34" t="n"/>
      <c r="E607" s="34" t="n"/>
      <c r="F607" s="34" t="n"/>
      <c r="G607" s="34" t="n"/>
      <c r="H607" s="49" t="n"/>
      <c r="I607" s="48" t="n"/>
      <c r="J607" s="49" t="n"/>
      <c r="K607" s="49" t="n"/>
      <c r="L607" s="49" t="n"/>
      <c r="M607" s="51" t="n"/>
      <c r="N607" s="48" t="n"/>
    </row>
    <row r="608">
      <c r="A608" s="42" t="n"/>
      <c r="B608" s="34" t="n"/>
      <c r="C608" s="34" t="n"/>
      <c r="D608" s="34" t="n"/>
      <c r="E608" s="34" t="n"/>
      <c r="F608" s="34" t="n"/>
      <c r="G608" s="34" t="n"/>
      <c r="H608" s="49" t="n"/>
      <c r="I608" s="48" t="n"/>
      <c r="J608" s="49" t="n"/>
      <c r="K608" s="49" t="n"/>
      <c r="L608" s="49" t="n"/>
      <c r="M608" s="51" t="n"/>
      <c r="N608" s="48" t="n"/>
    </row>
    <row r="609">
      <c r="A609" s="42" t="n"/>
      <c r="B609" s="34" t="n"/>
      <c r="C609" s="34" t="n"/>
      <c r="D609" s="34" t="n"/>
      <c r="E609" s="34" t="n"/>
      <c r="F609" s="34" t="n"/>
      <c r="G609" s="34" t="n"/>
      <c r="H609" s="49" t="n"/>
      <c r="I609" s="48" t="n"/>
      <c r="J609" s="49" t="n"/>
      <c r="K609" s="49" t="n"/>
      <c r="L609" s="49" t="n"/>
      <c r="M609" s="51" t="n"/>
      <c r="N609" s="48" t="n"/>
    </row>
    <row r="610">
      <c r="A610" s="42" t="n"/>
      <c r="B610" s="34" t="n"/>
      <c r="C610" s="34" t="n"/>
      <c r="D610" s="34" t="n"/>
      <c r="E610" s="34" t="n"/>
      <c r="F610" s="34" t="n"/>
      <c r="G610" s="34" t="n"/>
      <c r="H610" s="49" t="n"/>
      <c r="I610" s="48" t="n"/>
      <c r="J610" s="49" t="n"/>
      <c r="K610" s="49" t="n"/>
      <c r="L610" s="49" t="n"/>
      <c r="M610" s="51" t="n"/>
      <c r="N610" s="48" t="n"/>
    </row>
    <row r="611">
      <c r="A611" s="42" t="n"/>
      <c r="B611" s="34" t="n"/>
      <c r="C611" s="34" t="n"/>
      <c r="D611" s="34" t="n"/>
      <c r="E611" s="34" t="n"/>
      <c r="F611" s="34" t="n"/>
      <c r="G611" s="34" t="n"/>
      <c r="H611" s="49" t="n"/>
      <c r="I611" s="48" t="n"/>
      <c r="J611" s="49" t="n"/>
      <c r="K611" s="49" t="n"/>
      <c r="L611" s="49" t="n"/>
      <c r="M611" s="51" t="n"/>
      <c r="N611" s="48" t="n"/>
    </row>
    <row r="612">
      <c r="A612" s="42" t="n"/>
      <c r="B612" s="34" t="n"/>
      <c r="C612" s="34" t="n"/>
      <c r="D612" s="34" t="n"/>
      <c r="E612" s="34" t="n"/>
      <c r="F612" s="34" t="n"/>
      <c r="G612" s="34" t="n"/>
      <c r="H612" s="49" t="n"/>
      <c r="I612" s="48" t="n"/>
      <c r="J612" s="49" t="n"/>
      <c r="K612" s="49" t="n"/>
      <c r="L612" s="49" t="n"/>
      <c r="M612" s="51" t="n"/>
      <c r="N612" s="48" t="n"/>
    </row>
    <row r="613">
      <c r="A613" s="42" t="n"/>
      <c r="B613" s="34" t="n"/>
      <c r="C613" s="34" t="n"/>
      <c r="D613" s="34" t="n"/>
      <c r="E613" s="34" t="n"/>
      <c r="F613" s="34" t="n"/>
      <c r="G613" s="34" t="n"/>
      <c r="H613" s="49" t="n"/>
      <c r="I613" s="48" t="n"/>
      <c r="J613" s="49" t="n"/>
      <c r="K613" s="49" t="n"/>
      <c r="L613" s="49" t="n"/>
      <c r="M613" s="51" t="n"/>
      <c r="N613" s="48" t="n"/>
    </row>
    <row r="614">
      <c r="A614" s="42" t="n"/>
      <c r="B614" s="34" t="n"/>
      <c r="C614" s="34" t="n"/>
      <c r="D614" s="34" t="n"/>
      <c r="E614" s="34" t="n"/>
      <c r="F614" s="34" t="n"/>
      <c r="G614" s="34" t="n"/>
      <c r="H614" s="49" t="n"/>
      <c r="I614" s="48" t="n"/>
      <c r="J614" s="49" t="n"/>
      <c r="K614" s="49" t="n"/>
      <c r="L614" s="49" t="n"/>
      <c r="M614" s="51" t="n"/>
      <c r="N614" s="48" t="n"/>
    </row>
    <row r="615">
      <c r="A615" s="42" t="n"/>
      <c r="B615" s="34" t="n"/>
      <c r="C615" s="34" t="n"/>
      <c r="D615" s="34" t="n"/>
      <c r="E615" s="34" t="n"/>
      <c r="F615" s="34" t="n"/>
      <c r="G615" s="34" t="n"/>
      <c r="H615" s="49" t="n"/>
      <c r="I615" s="48" t="n"/>
      <c r="J615" s="49" t="n"/>
      <c r="K615" s="49" t="n"/>
      <c r="L615" s="49" t="n"/>
      <c r="M615" s="51" t="n"/>
      <c r="N615" s="48" t="n"/>
    </row>
    <row r="616">
      <c r="A616" s="42" t="n"/>
      <c r="B616" s="34" t="n"/>
      <c r="C616" s="34" t="n"/>
      <c r="D616" s="34" t="n"/>
      <c r="E616" s="34" t="n"/>
      <c r="F616" s="34" t="n"/>
      <c r="G616" s="34" t="n"/>
      <c r="H616" s="49" t="n"/>
      <c r="I616" s="48" t="n"/>
      <c r="J616" s="49" t="n"/>
      <c r="K616" s="49" t="n"/>
      <c r="L616" s="49" t="n"/>
      <c r="M616" s="51" t="n"/>
      <c r="N616" s="48" t="n"/>
    </row>
    <row r="617">
      <c r="A617" s="42" t="n"/>
      <c r="B617" s="34" t="n"/>
      <c r="C617" s="34" t="n"/>
      <c r="D617" s="34" t="n"/>
      <c r="E617" s="34" t="n"/>
      <c r="F617" s="34" t="n"/>
      <c r="G617" s="34" t="n"/>
      <c r="H617" s="49" t="n"/>
      <c r="I617" s="48" t="n"/>
      <c r="J617" s="49" t="n"/>
      <c r="K617" s="49" t="n"/>
      <c r="L617" s="49" t="n"/>
      <c r="M617" s="51" t="n"/>
      <c r="N617" s="48" t="n"/>
    </row>
    <row r="618">
      <c r="A618" s="42" t="n"/>
      <c r="B618" s="34" t="n"/>
      <c r="C618" s="34" t="n"/>
      <c r="D618" s="34" t="n"/>
      <c r="E618" s="34" t="n"/>
      <c r="F618" s="34" t="n"/>
      <c r="G618" s="34" t="n"/>
      <c r="H618" s="49" t="n"/>
      <c r="I618" s="48" t="n"/>
      <c r="J618" s="49" t="n"/>
      <c r="K618" s="49" t="n"/>
      <c r="L618" s="49" t="n"/>
      <c r="M618" s="51" t="n"/>
      <c r="N618" s="48" t="n"/>
    </row>
    <row r="619">
      <c r="A619" s="42" t="n"/>
      <c r="B619" s="34" t="n"/>
      <c r="C619" s="34" t="n"/>
      <c r="D619" s="34" t="n"/>
      <c r="E619" s="34" t="n"/>
      <c r="F619" s="34" t="n"/>
      <c r="G619" s="34" t="n"/>
      <c r="H619" s="49" t="n"/>
      <c r="I619" s="48" t="n"/>
      <c r="J619" s="49" t="n"/>
      <c r="K619" s="49" t="n"/>
      <c r="L619" s="49" t="n"/>
      <c r="M619" s="51" t="n"/>
      <c r="N619" s="48" t="n"/>
    </row>
    <row r="620">
      <c r="A620" s="42" t="n"/>
      <c r="B620" s="34" t="n"/>
      <c r="C620" s="34" t="n"/>
      <c r="D620" s="34" t="n"/>
      <c r="E620" s="34" t="n"/>
      <c r="F620" s="34" t="n"/>
      <c r="G620" s="34" t="n"/>
      <c r="H620" s="49" t="n"/>
      <c r="I620" s="48" t="n"/>
      <c r="J620" s="49" t="n"/>
      <c r="K620" s="49" t="n"/>
      <c r="L620" s="49" t="n"/>
      <c r="M620" s="51" t="n"/>
      <c r="N620" s="48" t="n"/>
    </row>
    <row r="621">
      <c r="A621" s="42" t="n"/>
      <c r="B621" s="34" t="n"/>
      <c r="C621" s="34" t="n"/>
      <c r="D621" s="34" t="n"/>
      <c r="E621" s="34" t="n"/>
      <c r="F621" s="34" t="n"/>
      <c r="G621" s="34" t="n"/>
      <c r="H621" s="49" t="n"/>
      <c r="I621" s="48" t="n"/>
      <c r="J621" s="49" t="n"/>
      <c r="K621" s="49" t="n"/>
      <c r="L621" s="49" t="n"/>
      <c r="M621" s="51" t="n"/>
      <c r="N621" s="48" t="n"/>
    </row>
    <row r="622">
      <c r="A622" s="42" t="n"/>
      <c r="B622" s="34" t="n"/>
      <c r="C622" s="34" t="n"/>
      <c r="D622" s="34" t="n"/>
      <c r="E622" s="34" t="n"/>
      <c r="F622" s="34" t="n"/>
      <c r="G622" s="34" t="n"/>
      <c r="H622" s="49" t="n"/>
      <c r="I622" s="48" t="n"/>
      <c r="J622" s="49" t="n"/>
      <c r="K622" s="49" t="n"/>
      <c r="L622" s="49" t="n"/>
      <c r="M622" s="51" t="n"/>
      <c r="N622" s="48" t="n"/>
    </row>
    <row r="623">
      <c r="A623" s="42" t="n"/>
      <c r="B623" s="34" t="n"/>
      <c r="C623" s="34" t="n"/>
      <c r="D623" s="34" t="n"/>
      <c r="E623" s="34" t="n"/>
      <c r="F623" s="34" t="n"/>
      <c r="G623" s="34" t="n"/>
      <c r="H623" s="49" t="n"/>
      <c r="I623" s="48" t="n"/>
      <c r="J623" s="49" t="n"/>
      <c r="K623" s="49" t="n"/>
      <c r="L623" s="49" t="n"/>
      <c r="M623" s="51" t="n"/>
      <c r="N623" s="48" t="n"/>
    </row>
    <row r="624">
      <c r="A624" s="42" t="n"/>
      <c r="B624" s="34" t="n"/>
      <c r="C624" s="34" t="n"/>
      <c r="D624" s="34" t="n"/>
      <c r="E624" s="34" t="n"/>
      <c r="F624" s="34" t="n"/>
      <c r="G624" s="34" t="n"/>
      <c r="H624" s="49" t="n"/>
      <c r="I624" s="48" t="n"/>
      <c r="J624" s="49" t="n"/>
      <c r="K624" s="49" t="n"/>
      <c r="L624" s="49" t="n"/>
      <c r="M624" s="51" t="n"/>
      <c r="N624" s="48" t="n"/>
    </row>
    <row r="625">
      <c r="A625" s="42" t="n"/>
      <c r="B625" s="34" t="n"/>
      <c r="C625" s="34" t="n"/>
      <c r="D625" s="34" t="n"/>
      <c r="E625" s="34" t="n"/>
      <c r="F625" s="34" t="n"/>
      <c r="G625" s="34" t="n"/>
      <c r="H625" s="49" t="n"/>
      <c r="I625" s="48" t="n"/>
      <c r="J625" s="49" t="n"/>
      <c r="K625" s="49" t="n"/>
      <c r="L625" s="49" t="n"/>
      <c r="M625" s="51" t="n"/>
      <c r="N625" s="48" t="n"/>
    </row>
    <row r="626">
      <c r="A626" s="42" t="n"/>
      <c r="B626" s="34" t="n"/>
      <c r="C626" s="34" t="n"/>
      <c r="D626" s="34" t="n"/>
      <c r="E626" s="34" t="n"/>
      <c r="F626" s="34" t="n"/>
      <c r="G626" s="34" t="n"/>
      <c r="H626" s="49" t="n"/>
      <c r="I626" s="48" t="n"/>
      <c r="J626" s="49" t="n"/>
      <c r="K626" s="49" t="n"/>
      <c r="L626" s="49" t="n"/>
      <c r="M626" s="51" t="n"/>
      <c r="N626" s="48" t="n"/>
    </row>
    <row r="627">
      <c r="A627" s="42" t="n"/>
      <c r="B627" s="34" t="n"/>
      <c r="C627" s="34" t="n"/>
      <c r="D627" s="34" t="n"/>
      <c r="E627" s="34" t="n"/>
      <c r="F627" s="34" t="n"/>
      <c r="G627" s="34" t="n"/>
      <c r="H627" s="49" t="n"/>
      <c r="I627" s="48" t="n"/>
      <c r="J627" s="49" t="n"/>
      <c r="K627" s="49" t="n"/>
      <c r="L627" s="49" t="n"/>
      <c r="M627" s="51" t="n"/>
      <c r="N627" s="48" t="n"/>
    </row>
    <row r="628">
      <c r="A628" s="42" t="n"/>
      <c r="B628" s="34" t="n"/>
      <c r="C628" s="34" t="n"/>
      <c r="D628" s="34" t="n"/>
      <c r="E628" s="34" t="n"/>
      <c r="F628" s="34" t="n"/>
      <c r="G628" s="34" t="n"/>
      <c r="H628" s="49" t="n"/>
      <c r="I628" s="48" t="n"/>
      <c r="J628" s="49" t="n"/>
      <c r="K628" s="49" t="n"/>
      <c r="L628" s="49" t="n"/>
      <c r="M628" s="51" t="n"/>
      <c r="N628" s="48" t="n"/>
    </row>
    <row r="629">
      <c r="A629" s="42" t="n"/>
      <c r="B629" s="34" t="n"/>
      <c r="C629" s="34" t="n"/>
      <c r="D629" s="34" t="n"/>
      <c r="E629" s="34" t="n"/>
      <c r="F629" s="34" t="n"/>
      <c r="G629" s="34" t="n"/>
      <c r="H629" s="49" t="n"/>
      <c r="I629" s="48" t="n"/>
      <c r="J629" s="49" t="n"/>
      <c r="K629" s="49" t="n"/>
      <c r="L629" s="49" t="n"/>
      <c r="M629" s="51" t="n"/>
      <c r="N629" s="48" t="n"/>
    </row>
    <row r="630">
      <c r="A630" s="42" t="n"/>
      <c r="B630" s="34" t="n"/>
      <c r="C630" s="34" t="n"/>
      <c r="D630" s="34" t="n"/>
      <c r="E630" s="34" t="n"/>
      <c r="F630" s="34" t="n"/>
      <c r="G630" s="34" t="n"/>
      <c r="H630" s="49" t="n"/>
      <c r="I630" s="48" t="n"/>
      <c r="J630" s="49" t="n"/>
      <c r="K630" s="49" t="n"/>
      <c r="L630" s="49" t="n"/>
      <c r="M630" s="51" t="n"/>
      <c r="N630" s="48" t="n"/>
    </row>
    <row r="631">
      <c r="A631" s="42" t="n"/>
      <c r="B631" s="34" t="n"/>
      <c r="C631" s="34" t="n"/>
      <c r="D631" s="34" t="n"/>
      <c r="E631" s="34" t="n"/>
      <c r="F631" s="34" t="n"/>
      <c r="G631" s="34" t="n"/>
      <c r="H631" s="49" t="n"/>
      <c r="I631" s="48" t="n"/>
      <c r="J631" s="49" t="n"/>
      <c r="K631" s="49" t="n"/>
      <c r="L631" s="49" t="n"/>
      <c r="M631" s="51" t="n"/>
      <c r="N631" s="48" t="n"/>
    </row>
    <row r="632">
      <c r="A632" s="42" t="n"/>
      <c r="B632" s="34" t="n"/>
      <c r="C632" s="34" t="n"/>
      <c r="D632" s="34" t="n"/>
      <c r="E632" s="34" t="n"/>
      <c r="F632" s="34" t="n"/>
      <c r="G632" s="34" t="n"/>
      <c r="H632" s="49" t="n"/>
      <c r="I632" s="48" t="n"/>
      <c r="J632" s="49" t="n"/>
      <c r="K632" s="49" t="n"/>
      <c r="L632" s="49" t="n"/>
      <c r="M632" s="51" t="n"/>
      <c r="N632" s="48" t="n"/>
    </row>
    <row r="633">
      <c r="A633" s="42" t="n"/>
      <c r="B633" s="34" t="n"/>
      <c r="C633" s="34" t="n"/>
      <c r="D633" s="34" t="n"/>
      <c r="E633" s="34" t="n"/>
      <c r="F633" s="34" t="n"/>
      <c r="G633" s="34" t="n"/>
      <c r="H633" s="49" t="n"/>
      <c r="I633" s="48" t="n"/>
      <c r="J633" s="49" t="n"/>
      <c r="K633" s="49" t="n"/>
      <c r="L633" s="49" t="n"/>
      <c r="M633" s="51" t="n"/>
      <c r="N633" s="48" t="n"/>
    </row>
    <row r="634">
      <c r="A634" s="42" t="n"/>
      <c r="B634" s="34" t="n"/>
      <c r="C634" s="34" t="n"/>
      <c r="D634" s="34" t="n"/>
      <c r="E634" s="34" t="n"/>
      <c r="F634" s="34" t="n"/>
      <c r="G634" s="34" t="n"/>
      <c r="H634" s="49" t="n"/>
      <c r="I634" s="48" t="n"/>
      <c r="J634" s="49" t="n"/>
      <c r="K634" s="49" t="n"/>
      <c r="L634" s="49" t="n"/>
      <c r="M634" s="51" t="n"/>
      <c r="N634" s="48" t="n"/>
    </row>
    <row r="635">
      <c r="A635" s="42" t="n"/>
      <c r="B635" s="34" t="n"/>
      <c r="C635" s="34" t="n"/>
      <c r="D635" s="34" t="n"/>
      <c r="E635" s="34" t="n"/>
      <c r="F635" s="34" t="n"/>
      <c r="G635" s="34" t="n"/>
      <c r="H635" s="49" t="n"/>
      <c r="I635" s="48" t="n"/>
      <c r="J635" s="49" t="n"/>
      <c r="K635" s="49" t="n"/>
      <c r="L635" s="49" t="n"/>
      <c r="M635" s="51" t="n"/>
      <c r="N635" s="48" t="n"/>
    </row>
    <row r="636">
      <c r="A636" s="42" t="n"/>
      <c r="B636" s="34" t="n"/>
      <c r="C636" s="34" t="n"/>
      <c r="D636" s="34" t="n"/>
      <c r="E636" s="34" t="n"/>
      <c r="F636" s="34" t="n"/>
      <c r="G636" s="34" t="n"/>
      <c r="H636" s="49" t="n"/>
      <c r="I636" s="48" t="n"/>
      <c r="J636" s="49" t="n"/>
      <c r="K636" s="49" t="n"/>
      <c r="L636" s="49" t="n"/>
      <c r="M636" s="51" t="n"/>
      <c r="N636" s="48" t="n"/>
    </row>
    <row r="637">
      <c r="A637" s="42" t="n"/>
      <c r="B637" s="34" t="n"/>
      <c r="C637" s="34" t="n"/>
      <c r="D637" s="34" t="n"/>
      <c r="E637" s="34" t="n"/>
      <c r="F637" s="34" t="n"/>
      <c r="G637" s="34" t="n"/>
      <c r="H637" s="49" t="n"/>
      <c r="I637" s="48" t="n"/>
      <c r="J637" s="49" t="n"/>
      <c r="K637" s="49" t="n"/>
      <c r="L637" s="49" t="n"/>
      <c r="M637" s="51" t="n"/>
      <c r="N637" s="48" t="n"/>
    </row>
    <row r="638">
      <c r="A638" s="42" t="n"/>
      <c r="B638" s="34" t="n"/>
      <c r="C638" s="34" t="n"/>
      <c r="D638" s="34" t="n"/>
      <c r="E638" s="34" t="n"/>
      <c r="F638" s="34" t="n"/>
      <c r="G638" s="34" t="n"/>
      <c r="H638" s="49" t="n"/>
      <c r="I638" s="48" t="n"/>
      <c r="J638" s="49" t="n"/>
      <c r="K638" s="49" t="n"/>
      <c r="L638" s="49" t="n"/>
      <c r="M638" s="51" t="n"/>
      <c r="N638" s="48" t="n"/>
    </row>
    <row r="639">
      <c r="A639" s="42" t="n"/>
      <c r="B639" s="34" t="n"/>
      <c r="C639" s="34" t="n"/>
      <c r="D639" s="34" t="n"/>
      <c r="E639" s="34" t="n"/>
      <c r="F639" s="34" t="n"/>
      <c r="G639" s="34" t="n"/>
      <c r="H639" s="49" t="n"/>
      <c r="I639" s="48" t="n"/>
      <c r="J639" s="49" t="n"/>
      <c r="K639" s="49" t="n"/>
      <c r="L639" s="49" t="n"/>
      <c r="M639" s="51" t="n"/>
      <c r="N639" s="48" t="n"/>
    </row>
    <row r="640">
      <c r="A640" s="42" t="n"/>
      <c r="B640" s="34" t="n"/>
      <c r="C640" s="34" t="n"/>
      <c r="D640" s="34" t="n"/>
      <c r="E640" s="34" t="n"/>
      <c r="F640" s="34" t="n"/>
      <c r="G640" s="34" t="n"/>
      <c r="H640" s="49" t="n"/>
      <c r="I640" s="48" t="n"/>
      <c r="J640" s="49" t="n"/>
      <c r="K640" s="49" t="n"/>
      <c r="L640" s="49" t="n"/>
      <c r="M640" s="51" t="n"/>
      <c r="N640" s="48" t="n"/>
    </row>
    <row r="641">
      <c r="A641" s="42" t="n"/>
      <c r="B641" s="34" t="n"/>
      <c r="C641" s="34" t="n"/>
      <c r="D641" s="34" t="n"/>
      <c r="E641" s="34" t="n"/>
      <c r="F641" s="34" t="n"/>
      <c r="G641" s="34" t="n"/>
      <c r="H641" s="49" t="n"/>
      <c r="I641" s="48" t="n"/>
      <c r="J641" s="49" t="n"/>
      <c r="K641" s="49" t="n"/>
      <c r="L641" s="49" t="n"/>
      <c r="M641" s="51" t="n"/>
      <c r="N641" s="48" t="n"/>
    </row>
    <row r="642">
      <c r="A642" s="42" t="n"/>
      <c r="B642" s="34" t="n"/>
      <c r="C642" s="34" t="n"/>
      <c r="D642" s="34" t="n"/>
      <c r="E642" s="34" t="n"/>
      <c r="F642" s="34" t="n"/>
      <c r="G642" s="34" t="n"/>
      <c r="H642" s="49" t="n"/>
      <c r="I642" s="48" t="n"/>
      <c r="J642" s="49" t="n"/>
      <c r="K642" s="49" t="n"/>
      <c r="L642" s="49" t="n"/>
      <c r="M642" s="51" t="n"/>
      <c r="N642" s="48" t="n"/>
    </row>
    <row r="643">
      <c r="A643" s="42" t="n"/>
      <c r="B643" s="34" t="n"/>
      <c r="C643" s="34" t="n"/>
      <c r="D643" s="34" t="n"/>
      <c r="E643" s="34" t="n"/>
      <c r="F643" s="34" t="n"/>
      <c r="G643" s="34" t="n"/>
      <c r="H643" s="49" t="n"/>
      <c r="I643" s="48" t="n"/>
      <c r="J643" s="49" t="n"/>
      <c r="K643" s="49" t="n"/>
      <c r="L643" s="49" t="n"/>
      <c r="M643" s="51" t="n"/>
      <c r="N643" s="48" t="n"/>
    </row>
    <row r="644">
      <c r="A644" s="42" t="n"/>
      <c r="B644" s="34" t="n"/>
      <c r="C644" s="34" t="n"/>
      <c r="D644" s="34" t="n"/>
      <c r="E644" s="34" t="n"/>
      <c r="F644" s="34" t="n"/>
      <c r="G644" s="34" t="n"/>
      <c r="H644" s="49" t="n"/>
      <c r="I644" s="48" t="n"/>
      <c r="J644" s="49" t="n"/>
      <c r="K644" s="49" t="n"/>
      <c r="L644" s="49" t="n"/>
      <c r="M644" s="51" t="n"/>
      <c r="N644" s="48" t="n"/>
    </row>
    <row r="645">
      <c r="A645" s="42" t="n"/>
      <c r="B645" s="34" t="n"/>
      <c r="C645" s="34" t="n"/>
      <c r="D645" s="34" t="n"/>
      <c r="E645" s="34" t="n"/>
      <c r="F645" s="34" t="n"/>
      <c r="G645" s="34" t="n"/>
      <c r="H645" s="49" t="n"/>
      <c r="I645" s="48" t="n"/>
      <c r="J645" s="49" t="n"/>
      <c r="K645" s="49" t="n"/>
      <c r="L645" s="49" t="n"/>
      <c r="M645" s="51" t="n"/>
      <c r="N645" s="48" t="n"/>
    </row>
    <row r="646">
      <c r="A646" s="42" t="n"/>
      <c r="B646" s="34" t="n"/>
      <c r="C646" s="34" t="n"/>
      <c r="D646" s="34" t="n"/>
      <c r="E646" s="34" t="n"/>
      <c r="F646" s="34" t="n"/>
      <c r="G646" s="34" t="n"/>
      <c r="H646" s="49" t="n"/>
      <c r="I646" s="48" t="n"/>
      <c r="J646" s="49" t="n"/>
      <c r="K646" s="49" t="n"/>
      <c r="L646" s="49" t="n"/>
      <c r="M646" s="51" t="n"/>
      <c r="N646" s="48" t="n"/>
    </row>
    <row r="647">
      <c r="A647" s="42" t="n"/>
      <c r="B647" s="34" t="n"/>
      <c r="C647" s="34" t="n"/>
      <c r="D647" s="34" t="n"/>
      <c r="E647" s="34" t="n"/>
      <c r="F647" s="34" t="n"/>
      <c r="G647" s="34" t="n"/>
      <c r="H647" s="49" t="n"/>
      <c r="I647" s="48" t="n"/>
      <c r="J647" s="49" t="n"/>
      <c r="K647" s="49" t="n"/>
      <c r="L647" s="49" t="n"/>
      <c r="M647" s="51" t="n"/>
      <c r="N647" s="48" t="n"/>
    </row>
    <row r="648">
      <c r="A648" s="42" t="n"/>
      <c r="B648" s="34" t="n"/>
      <c r="C648" s="34" t="n"/>
      <c r="D648" s="34" t="n"/>
      <c r="E648" s="34" t="n"/>
      <c r="F648" s="34" t="n"/>
      <c r="G648" s="34" t="n"/>
      <c r="H648" s="49" t="n"/>
      <c r="I648" s="48" t="n"/>
      <c r="J648" s="49" t="n"/>
      <c r="K648" s="49" t="n"/>
      <c r="L648" s="49" t="n"/>
      <c r="M648" s="51" t="n"/>
      <c r="N648" s="48" t="n"/>
    </row>
    <row r="649">
      <c r="A649" s="42" t="n"/>
      <c r="B649" s="34" t="n"/>
      <c r="C649" s="34" t="n"/>
      <c r="D649" s="34" t="n"/>
      <c r="E649" s="34" t="n"/>
      <c r="F649" s="34" t="n"/>
      <c r="G649" s="34" t="n"/>
      <c r="H649" s="49" t="n"/>
      <c r="I649" s="48" t="n"/>
      <c r="J649" s="49" t="n"/>
      <c r="K649" s="49" t="n"/>
      <c r="L649" s="49" t="n"/>
      <c r="M649" s="51" t="n"/>
      <c r="N649" s="48" t="n"/>
    </row>
    <row r="650">
      <c r="A650" s="42" t="n"/>
      <c r="B650" s="34" t="n"/>
      <c r="C650" s="34" t="n"/>
      <c r="D650" s="34" t="n"/>
      <c r="E650" s="34" t="n"/>
      <c r="F650" s="34" t="n"/>
      <c r="G650" s="34" t="n"/>
      <c r="H650" s="49" t="n"/>
      <c r="I650" s="48" t="n"/>
      <c r="J650" s="49" t="n"/>
      <c r="K650" s="49" t="n"/>
      <c r="L650" s="49" t="n"/>
      <c r="M650" s="51" t="n"/>
      <c r="N650" s="48" t="n"/>
    </row>
    <row r="651">
      <c r="A651" s="42" t="n"/>
      <c r="B651" s="34" t="n"/>
      <c r="C651" s="34" t="n"/>
      <c r="D651" s="34" t="n"/>
      <c r="E651" s="34" t="n"/>
      <c r="F651" s="34" t="n"/>
      <c r="G651" s="34" t="n"/>
      <c r="H651" s="49" t="n"/>
      <c r="I651" s="48" t="n"/>
      <c r="J651" s="49" t="n"/>
      <c r="K651" s="49" t="n"/>
      <c r="L651" s="49" t="n"/>
      <c r="M651" s="51" t="n"/>
      <c r="N651" s="48" t="n"/>
    </row>
    <row r="652">
      <c r="A652" s="42" t="n"/>
      <c r="B652" s="34" t="n"/>
      <c r="C652" s="34" t="n"/>
      <c r="D652" s="34" t="n"/>
      <c r="E652" s="34" t="n"/>
      <c r="F652" s="34" t="n"/>
      <c r="G652" s="34" t="n"/>
      <c r="H652" s="49" t="n"/>
      <c r="I652" s="48" t="n"/>
      <c r="J652" s="49" t="n"/>
      <c r="K652" s="49" t="n"/>
      <c r="L652" s="49" t="n"/>
      <c r="M652" s="51" t="n"/>
      <c r="N652" s="48" t="n"/>
    </row>
    <row r="653">
      <c r="A653" s="42" t="n"/>
      <c r="B653" s="34" t="n"/>
      <c r="C653" s="34" t="n"/>
      <c r="D653" s="34" t="n"/>
      <c r="E653" s="34" t="n"/>
      <c r="F653" s="34" t="n"/>
      <c r="G653" s="34" t="n"/>
      <c r="H653" s="49" t="n"/>
      <c r="I653" s="48" t="n"/>
      <c r="J653" s="49" t="n"/>
      <c r="K653" s="49" t="n"/>
      <c r="L653" s="49" t="n"/>
      <c r="M653" s="51" t="n"/>
      <c r="N653" s="48" t="n"/>
    </row>
    <row r="654">
      <c r="A654" s="42" t="n"/>
      <c r="B654" s="34" t="n"/>
      <c r="C654" s="34" t="n"/>
      <c r="D654" s="34" t="n"/>
      <c r="E654" s="34" t="n"/>
      <c r="F654" s="34" t="n"/>
      <c r="G654" s="34" t="n"/>
      <c r="H654" s="49" t="n"/>
      <c r="I654" s="48" t="n"/>
      <c r="J654" s="49" t="n"/>
      <c r="K654" s="49" t="n"/>
      <c r="L654" s="49" t="n"/>
      <c r="M654" s="51" t="n"/>
      <c r="N654" s="48" t="n"/>
    </row>
    <row r="655">
      <c r="A655" s="42" t="n"/>
      <c r="B655" s="34" t="n"/>
      <c r="C655" s="34" t="n"/>
      <c r="D655" s="34" t="n"/>
      <c r="E655" s="34" t="n"/>
      <c r="F655" s="34" t="n"/>
      <c r="G655" s="34" t="n"/>
      <c r="H655" s="49" t="n"/>
      <c r="I655" s="48" t="n"/>
      <c r="J655" s="49" t="n"/>
      <c r="K655" s="49" t="n"/>
      <c r="L655" s="49" t="n"/>
      <c r="M655" s="51" t="n"/>
      <c r="N655" s="48" t="n"/>
    </row>
    <row r="656">
      <c r="A656" s="42" t="n"/>
      <c r="B656" s="34" t="n"/>
      <c r="C656" s="34" t="n"/>
      <c r="D656" s="34" t="n"/>
      <c r="E656" s="34" t="n"/>
      <c r="F656" s="34" t="n"/>
      <c r="G656" s="34" t="n"/>
      <c r="H656" s="49" t="n"/>
      <c r="I656" s="48" t="n"/>
      <c r="J656" s="49" t="n"/>
      <c r="K656" s="49" t="n"/>
      <c r="L656" s="49" t="n"/>
      <c r="M656" s="51" t="n"/>
      <c r="N656" s="48" t="n"/>
    </row>
    <row r="657">
      <c r="A657" s="42" t="n"/>
      <c r="B657" s="34" t="n"/>
      <c r="C657" s="34" t="n"/>
      <c r="D657" s="34" t="n"/>
      <c r="E657" s="34" t="n"/>
      <c r="F657" s="34" t="n"/>
      <c r="G657" s="34" t="n"/>
      <c r="H657" s="49" t="n"/>
      <c r="I657" s="48" t="n"/>
      <c r="J657" s="49" t="n"/>
      <c r="K657" s="49" t="n"/>
      <c r="L657" s="49" t="n"/>
      <c r="M657" s="51" t="n"/>
      <c r="N657" s="48" t="n"/>
    </row>
    <row r="658">
      <c r="A658" s="42" t="n"/>
      <c r="B658" s="34" t="n"/>
      <c r="C658" s="34" t="n"/>
      <c r="D658" s="34" t="n"/>
      <c r="E658" s="34" t="n"/>
      <c r="F658" s="34" t="n"/>
      <c r="G658" s="34" t="n"/>
      <c r="H658" s="49" t="n"/>
      <c r="I658" s="48" t="n"/>
      <c r="J658" s="49" t="n"/>
      <c r="K658" s="49" t="n"/>
      <c r="L658" s="49" t="n"/>
      <c r="M658" s="51" t="n"/>
      <c r="N658" s="48" t="n"/>
    </row>
    <row r="659">
      <c r="A659" s="42" t="n"/>
      <c r="B659" s="34" t="n"/>
      <c r="C659" s="34" t="n"/>
      <c r="D659" s="34" t="n"/>
      <c r="E659" s="34" t="n"/>
      <c r="F659" s="34" t="n"/>
      <c r="G659" s="34" t="n"/>
      <c r="H659" s="49" t="n"/>
      <c r="I659" s="48" t="n"/>
      <c r="J659" s="49" t="n"/>
      <c r="K659" s="49" t="n"/>
      <c r="L659" s="49" t="n"/>
      <c r="M659" s="51" t="n"/>
      <c r="N659" s="48" t="n"/>
    </row>
    <row r="660">
      <c r="A660" s="42" t="n"/>
      <c r="B660" s="34" t="n"/>
      <c r="C660" s="34" t="n"/>
      <c r="D660" s="34" t="n"/>
      <c r="E660" s="34" t="n"/>
      <c r="F660" s="34" t="n"/>
      <c r="G660" s="34" t="n"/>
      <c r="H660" s="49" t="n"/>
      <c r="I660" s="48" t="n"/>
      <c r="J660" s="49" t="n"/>
      <c r="K660" s="49" t="n"/>
      <c r="L660" s="49" t="n"/>
      <c r="M660" s="51" t="n"/>
      <c r="N660" s="48" t="n"/>
    </row>
    <row r="661">
      <c r="A661" s="42" t="n"/>
      <c r="B661" s="34" t="n"/>
      <c r="C661" s="34" t="n"/>
      <c r="D661" s="34" t="n"/>
      <c r="E661" s="34" t="n"/>
      <c r="F661" s="34" t="n"/>
      <c r="G661" s="34" t="n"/>
      <c r="H661" s="49" t="n"/>
      <c r="I661" s="48" t="n"/>
      <c r="J661" s="49" t="n"/>
      <c r="K661" s="49" t="n"/>
      <c r="L661" s="49" t="n"/>
      <c r="M661" s="51" t="n"/>
      <c r="N661" s="48" t="n"/>
    </row>
    <row r="662">
      <c r="A662" s="42" t="n"/>
      <c r="B662" s="34" t="n"/>
      <c r="C662" s="34" t="n"/>
      <c r="D662" s="34" t="n"/>
      <c r="E662" s="34" t="n"/>
      <c r="F662" s="34" t="n"/>
      <c r="G662" s="34" t="n"/>
      <c r="H662" s="49" t="n"/>
      <c r="I662" s="48" t="n"/>
      <c r="J662" s="49" t="n"/>
      <c r="K662" s="49" t="n"/>
      <c r="L662" s="49" t="n"/>
      <c r="M662" s="51" t="n"/>
      <c r="N662" s="48" t="n"/>
    </row>
    <row r="663">
      <c r="A663" s="42" t="n"/>
      <c r="B663" s="34" t="n"/>
      <c r="C663" s="34" t="n"/>
      <c r="D663" s="34" t="n"/>
      <c r="E663" s="34" t="n"/>
      <c r="F663" s="34" t="n"/>
      <c r="G663" s="34" t="n"/>
      <c r="H663" s="49" t="n"/>
      <c r="I663" s="48" t="n"/>
      <c r="J663" s="49" t="n"/>
      <c r="K663" s="49" t="n"/>
      <c r="L663" s="49" t="n"/>
      <c r="M663" s="51" t="n"/>
      <c r="N663" s="48" t="n"/>
    </row>
    <row r="664">
      <c r="A664" s="42" t="n"/>
      <c r="B664" s="34" t="n"/>
      <c r="C664" s="34" t="n"/>
      <c r="D664" s="34" t="n"/>
      <c r="E664" s="34" t="n"/>
      <c r="F664" s="34" t="n"/>
      <c r="G664" s="34" t="n"/>
      <c r="H664" s="49" t="n"/>
      <c r="I664" s="48" t="n"/>
      <c r="J664" s="49" t="n"/>
      <c r="K664" s="49" t="n"/>
      <c r="L664" s="49" t="n"/>
      <c r="M664" s="51" t="n"/>
      <c r="N664" s="48" t="n"/>
    </row>
    <row r="665">
      <c r="A665" s="42" t="n"/>
      <c r="B665" s="34" t="n"/>
      <c r="C665" s="34" t="n"/>
      <c r="D665" s="34" t="n"/>
      <c r="E665" s="34" t="n"/>
      <c r="F665" s="34" t="n"/>
      <c r="G665" s="34" t="n"/>
      <c r="H665" s="49" t="n"/>
      <c r="I665" s="48" t="n"/>
      <c r="J665" s="49" t="n"/>
      <c r="K665" s="49" t="n"/>
      <c r="L665" s="49" t="n"/>
      <c r="M665" s="51" t="n"/>
      <c r="N665" s="48" t="n"/>
    </row>
    <row r="666">
      <c r="A666" s="42" t="n"/>
      <c r="B666" s="34" t="n"/>
      <c r="C666" s="34" t="n"/>
      <c r="D666" s="34" t="n"/>
      <c r="E666" s="34" t="n"/>
      <c r="F666" s="34" t="n"/>
      <c r="G666" s="34" t="n"/>
      <c r="H666" s="49" t="n"/>
      <c r="I666" s="48" t="n"/>
      <c r="J666" s="49" t="n"/>
      <c r="K666" s="49" t="n"/>
      <c r="L666" s="49" t="n"/>
      <c r="M666" s="51" t="n"/>
      <c r="N666" s="48" t="n"/>
    </row>
    <row r="667">
      <c r="A667" s="42" t="n"/>
      <c r="B667" s="34" t="n"/>
      <c r="C667" s="34" t="n"/>
      <c r="D667" s="34" t="n"/>
      <c r="E667" s="34" t="n"/>
      <c r="F667" s="34" t="n"/>
      <c r="G667" s="34" t="n"/>
      <c r="H667" s="49" t="n"/>
      <c r="I667" s="48" t="n"/>
      <c r="J667" s="49" t="n"/>
      <c r="K667" s="49" t="n"/>
      <c r="L667" s="49" t="n"/>
      <c r="M667" s="51" t="n"/>
      <c r="N667" s="48" t="n"/>
    </row>
    <row r="668">
      <c r="A668" s="42" t="n"/>
      <c r="B668" s="34" t="n"/>
      <c r="C668" s="34" t="n"/>
      <c r="D668" s="34" t="n"/>
      <c r="E668" s="34" t="n"/>
      <c r="F668" s="34" t="n"/>
      <c r="G668" s="34" t="n"/>
      <c r="H668" s="49" t="n"/>
      <c r="I668" s="48" t="n"/>
      <c r="J668" s="49" t="n"/>
      <c r="K668" s="49" t="n"/>
      <c r="L668" s="49" t="n"/>
      <c r="M668" s="51" t="n"/>
      <c r="N668" s="48" t="n"/>
    </row>
    <row r="669">
      <c r="A669" s="42" t="n"/>
      <c r="B669" s="34" t="n"/>
      <c r="C669" s="34" t="n"/>
      <c r="D669" s="34" t="n"/>
      <c r="E669" s="34" t="n"/>
      <c r="F669" s="34" t="n"/>
      <c r="G669" s="34" t="n"/>
      <c r="H669" s="49" t="n"/>
      <c r="I669" s="48" t="n"/>
      <c r="J669" s="49" t="n"/>
      <c r="K669" s="49" t="n"/>
      <c r="L669" s="49" t="n"/>
      <c r="M669" s="51" t="n"/>
      <c r="N669" s="48" t="n"/>
    </row>
    <row r="670">
      <c r="A670" s="42" t="n"/>
      <c r="B670" s="34" t="n"/>
      <c r="C670" s="34" t="n"/>
      <c r="D670" s="34" t="n"/>
      <c r="E670" s="34" t="n"/>
      <c r="F670" s="34" t="n"/>
      <c r="G670" s="34" t="n"/>
      <c r="H670" s="49" t="n"/>
      <c r="I670" s="48" t="n"/>
      <c r="J670" s="49" t="n"/>
      <c r="K670" s="49" t="n"/>
      <c r="L670" s="49" t="n"/>
      <c r="M670" s="51" t="n"/>
      <c r="N670" s="48" t="n"/>
    </row>
    <row r="671">
      <c r="A671" s="42" t="n"/>
      <c r="B671" s="34" t="n"/>
      <c r="C671" s="34" t="n"/>
      <c r="D671" s="34" t="n"/>
      <c r="E671" s="34" t="n"/>
      <c r="F671" s="34" t="n"/>
      <c r="G671" s="34" t="n"/>
      <c r="H671" s="49" t="n"/>
      <c r="I671" s="48" t="n"/>
      <c r="J671" s="49" t="n"/>
      <c r="K671" s="49" t="n"/>
      <c r="L671" s="49" t="n"/>
      <c r="M671" s="51" t="n"/>
      <c r="N671" s="48" t="n"/>
    </row>
    <row r="672">
      <c r="A672" s="42" t="n"/>
      <c r="B672" s="34" t="n"/>
      <c r="C672" s="34" t="n"/>
      <c r="D672" s="34" t="n"/>
      <c r="E672" s="34" t="n"/>
      <c r="F672" s="34" t="n"/>
      <c r="G672" s="34" t="n"/>
      <c r="H672" s="49" t="n"/>
      <c r="I672" s="48" t="n"/>
      <c r="J672" s="49" t="n"/>
      <c r="K672" s="49" t="n"/>
      <c r="L672" s="49" t="n"/>
      <c r="M672" s="51" t="n"/>
      <c r="N672" s="48" t="n"/>
    </row>
    <row r="673">
      <c r="A673" s="42" t="n"/>
      <c r="B673" s="34" t="n"/>
      <c r="C673" s="34" t="n"/>
      <c r="D673" s="34" t="n"/>
      <c r="E673" s="34" t="n"/>
      <c r="F673" s="34" t="n"/>
      <c r="G673" s="34" t="n"/>
      <c r="H673" s="49" t="n"/>
      <c r="I673" s="48" t="n"/>
      <c r="J673" s="49" t="n"/>
      <c r="K673" s="49" t="n"/>
      <c r="L673" s="49" t="n"/>
      <c r="M673" s="51" t="n"/>
      <c r="N673" s="48" t="n"/>
    </row>
    <row r="674">
      <c r="A674" s="42" t="n"/>
      <c r="B674" s="34" t="n"/>
      <c r="C674" s="34" t="n"/>
      <c r="D674" s="34" t="n"/>
      <c r="E674" s="34" t="n"/>
      <c r="F674" s="34" t="n"/>
      <c r="G674" s="34" t="n"/>
      <c r="H674" s="49" t="n"/>
      <c r="I674" s="48" t="n"/>
      <c r="J674" s="49" t="n"/>
      <c r="K674" s="49" t="n"/>
      <c r="L674" s="49" t="n"/>
      <c r="M674" s="51" t="n"/>
      <c r="N674" s="48" t="n"/>
    </row>
    <row r="675">
      <c r="A675" s="42" t="n"/>
      <c r="B675" s="34" t="n"/>
      <c r="C675" s="34" t="n"/>
      <c r="D675" s="34" t="n"/>
      <c r="E675" s="34" t="n"/>
      <c r="F675" s="34" t="n"/>
      <c r="G675" s="34" t="n"/>
      <c r="H675" s="49" t="n"/>
      <c r="I675" s="48" t="n"/>
      <c r="J675" s="49" t="n"/>
      <c r="K675" s="49" t="n"/>
      <c r="L675" s="49" t="n"/>
      <c r="M675" s="51" t="n"/>
      <c r="N675" s="48" t="n"/>
    </row>
    <row r="676">
      <c r="A676" s="42" t="n"/>
      <c r="B676" s="34" t="n"/>
      <c r="C676" s="34" t="n"/>
      <c r="D676" s="34" t="n"/>
      <c r="E676" s="34" t="n"/>
      <c r="F676" s="34" t="n"/>
      <c r="G676" s="34" t="n"/>
      <c r="H676" s="49" t="n"/>
      <c r="I676" s="48" t="n"/>
      <c r="J676" s="49" t="n"/>
      <c r="K676" s="49" t="n"/>
      <c r="L676" s="49" t="n"/>
      <c r="M676" s="51" t="n"/>
      <c r="N676" s="48" t="n"/>
    </row>
    <row r="677">
      <c r="A677" s="42" t="n"/>
      <c r="B677" s="34" t="n"/>
      <c r="C677" s="34" t="n"/>
      <c r="D677" s="34" t="n"/>
      <c r="E677" s="34" t="n"/>
      <c r="F677" s="34" t="n"/>
      <c r="G677" s="34" t="n"/>
      <c r="H677" s="49" t="n"/>
      <c r="I677" s="48" t="n"/>
      <c r="J677" s="49" t="n"/>
      <c r="K677" s="49" t="n"/>
      <c r="L677" s="49" t="n"/>
      <c r="M677" s="51" t="n"/>
      <c r="N677" s="48" t="n"/>
    </row>
    <row r="678">
      <c r="A678" s="42" t="n"/>
      <c r="B678" s="34" t="n"/>
      <c r="C678" s="34" t="n"/>
      <c r="D678" s="34" t="n"/>
      <c r="E678" s="34" t="n"/>
      <c r="F678" s="34" t="n"/>
      <c r="G678" s="34" t="n"/>
      <c r="H678" s="49" t="n"/>
      <c r="I678" s="48" t="n"/>
      <c r="J678" s="49" t="n"/>
      <c r="K678" s="49" t="n"/>
      <c r="L678" s="49" t="n"/>
      <c r="M678" s="51" t="n"/>
      <c r="N678" s="48" t="n"/>
    </row>
    <row r="679">
      <c r="A679" s="42" t="n"/>
      <c r="B679" s="34" t="n"/>
      <c r="C679" s="34" t="n"/>
      <c r="D679" s="34" t="n"/>
      <c r="E679" s="34" t="n"/>
      <c r="F679" s="34" t="n"/>
      <c r="G679" s="34" t="n"/>
      <c r="H679" s="49" t="n"/>
      <c r="I679" s="48" t="n"/>
      <c r="J679" s="49" t="n"/>
      <c r="K679" s="49" t="n"/>
      <c r="L679" s="49" t="n"/>
      <c r="M679" s="51" t="n"/>
      <c r="N679" s="48" t="n"/>
    </row>
    <row r="680">
      <c r="A680" s="42" t="n"/>
      <c r="B680" s="34" t="n"/>
      <c r="C680" s="34" t="n"/>
      <c r="D680" s="34" t="n"/>
      <c r="E680" s="34" t="n"/>
      <c r="F680" s="34" t="n"/>
      <c r="G680" s="34" t="n"/>
      <c r="H680" s="49" t="n"/>
      <c r="I680" s="48" t="n"/>
      <c r="J680" s="49" t="n"/>
      <c r="K680" s="49" t="n"/>
      <c r="L680" s="49" t="n"/>
      <c r="M680" s="51" t="n"/>
      <c r="N680" s="48" t="n"/>
    </row>
    <row r="681">
      <c r="A681" s="42" t="n"/>
      <c r="B681" s="34" t="n"/>
      <c r="C681" s="34" t="n"/>
      <c r="D681" s="34" t="n"/>
      <c r="E681" s="34" t="n"/>
      <c r="F681" s="34" t="n"/>
      <c r="G681" s="34" t="n"/>
      <c r="H681" s="49" t="n"/>
      <c r="I681" s="48" t="n"/>
      <c r="J681" s="49" t="n"/>
      <c r="K681" s="49" t="n"/>
      <c r="L681" s="49" t="n"/>
      <c r="M681" s="51" t="n"/>
      <c r="N681" s="48" t="n"/>
    </row>
    <row r="682">
      <c r="A682" s="42" t="n"/>
      <c r="B682" s="34" t="n"/>
      <c r="C682" s="34" t="n"/>
      <c r="D682" s="34" t="n"/>
      <c r="E682" s="34" t="n"/>
      <c r="F682" s="34" t="n"/>
      <c r="G682" s="34" t="n"/>
      <c r="H682" s="49" t="n"/>
      <c r="I682" s="48" t="n"/>
      <c r="J682" s="49" t="n"/>
      <c r="K682" s="49" t="n"/>
      <c r="L682" s="49" t="n"/>
      <c r="M682" s="51" t="n"/>
      <c r="N682" s="48" t="n"/>
    </row>
    <row r="683">
      <c r="A683" s="42" t="n"/>
      <c r="B683" s="34" t="n"/>
      <c r="C683" s="34" t="n"/>
      <c r="D683" s="34" t="n"/>
      <c r="E683" s="34" t="n"/>
      <c r="F683" s="34" t="n"/>
      <c r="G683" s="34" t="n"/>
      <c r="H683" s="49" t="n"/>
      <c r="I683" s="48" t="n"/>
      <c r="J683" s="49" t="n"/>
      <c r="K683" s="49" t="n"/>
      <c r="L683" s="49" t="n"/>
      <c r="M683" s="51" t="n"/>
      <c r="N683" s="48" t="n"/>
    </row>
    <row r="684">
      <c r="A684" s="42" t="n"/>
      <c r="B684" s="34" t="n"/>
      <c r="C684" s="34" t="n"/>
      <c r="D684" s="34" t="n"/>
      <c r="E684" s="34" t="n"/>
      <c r="F684" s="34" t="n"/>
      <c r="G684" s="34" t="n"/>
      <c r="H684" s="49" t="n"/>
      <c r="I684" s="48" t="n"/>
      <c r="J684" s="49" t="n"/>
      <c r="K684" s="49" t="n"/>
      <c r="L684" s="49" t="n"/>
      <c r="M684" s="51" t="n"/>
      <c r="N684" s="48" t="n"/>
    </row>
    <row r="685">
      <c r="A685" s="42" t="n"/>
      <c r="B685" s="34" t="n"/>
      <c r="C685" s="34" t="n"/>
      <c r="D685" s="34" t="n"/>
      <c r="E685" s="34" t="n"/>
      <c r="F685" s="34" t="n"/>
      <c r="G685" s="34" t="n"/>
      <c r="H685" s="49" t="n"/>
      <c r="I685" s="48" t="n"/>
      <c r="J685" s="49" t="n"/>
      <c r="K685" s="49" t="n"/>
      <c r="L685" s="49" t="n"/>
      <c r="M685" s="51" t="n"/>
      <c r="N685" s="48" t="n"/>
    </row>
    <row r="686">
      <c r="A686" s="42" t="n"/>
      <c r="B686" s="34" t="n"/>
      <c r="C686" s="34" t="n"/>
      <c r="D686" s="34" t="n"/>
      <c r="E686" s="34" t="n"/>
      <c r="F686" s="34" t="n"/>
      <c r="G686" s="34" t="n"/>
      <c r="H686" s="49" t="n"/>
      <c r="I686" s="48" t="n"/>
      <c r="J686" s="49" t="n"/>
      <c r="K686" s="49" t="n"/>
      <c r="L686" s="49" t="n"/>
      <c r="M686" s="51" t="n"/>
      <c r="N686" s="48" t="n"/>
    </row>
    <row r="687">
      <c r="A687" s="42" t="n"/>
      <c r="B687" s="34" t="n"/>
      <c r="C687" s="34" t="n"/>
      <c r="D687" s="34" t="n"/>
      <c r="E687" s="34" t="n"/>
      <c r="F687" s="34" t="n"/>
      <c r="G687" s="34" t="n"/>
      <c r="H687" s="49" t="n"/>
      <c r="I687" s="48" t="n"/>
      <c r="J687" s="49" t="n"/>
      <c r="K687" s="49" t="n"/>
      <c r="L687" s="49" t="n"/>
      <c r="M687" s="51" t="n"/>
      <c r="N687" s="48" t="n"/>
    </row>
    <row r="688">
      <c r="A688" s="42" t="n"/>
      <c r="B688" s="34" t="n"/>
      <c r="C688" s="34" t="n"/>
      <c r="D688" s="34" t="n"/>
      <c r="E688" s="34" t="n"/>
      <c r="F688" s="34" t="n"/>
      <c r="G688" s="34" t="n"/>
      <c r="H688" s="49" t="n"/>
      <c r="I688" s="48" t="n"/>
      <c r="J688" s="49" t="n"/>
      <c r="K688" s="49" t="n"/>
      <c r="L688" s="49" t="n"/>
      <c r="M688" s="51" t="n"/>
      <c r="N688" s="48" t="n"/>
    </row>
    <row r="689">
      <c r="A689" s="42" t="n"/>
      <c r="B689" s="34" t="n"/>
      <c r="C689" s="34" t="n"/>
      <c r="D689" s="34" t="n"/>
      <c r="E689" s="34" t="n"/>
      <c r="F689" s="34" t="n"/>
      <c r="G689" s="34" t="n"/>
      <c r="H689" s="49" t="n"/>
      <c r="I689" s="48" t="n"/>
      <c r="J689" s="49" t="n"/>
      <c r="K689" s="49" t="n"/>
      <c r="L689" s="49" t="n"/>
      <c r="M689" s="51" t="n"/>
      <c r="N689" s="48" t="n"/>
    </row>
    <row r="690">
      <c r="A690" s="42" t="n"/>
      <c r="B690" s="34" t="n"/>
      <c r="C690" s="34" t="n"/>
      <c r="D690" s="34" t="n"/>
      <c r="E690" s="34" t="n"/>
      <c r="F690" s="34" t="n"/>
      <c r="G690" s="34" t="n"/>
      <c r="H690" s="49" t="n"/>
      <c r="I690" s="48" t="n"/>
      <c r="J690" s="49" t="n"/>
      <c r="K690" s="49" t="n"/>
      <c r="L690" s="49" t="n"/>
      <c r="M690" s="51" t="n"/>
      <c r="N690" s="48" t="n"/>
    </row>
    <row r="691">
      <c r="A691" s="42" t="n"/>
      <c r="B691" s="34" t="n"/>
      <c r="C691" s="34" t="n"/>
      <c r="D691" s="34" t="n"/>
      <c r="E691" s="34" t="n"/>
      <c r="F691" s="34" t="n"/>
      <c r="G691" s="34" t="n"/>
      <c r="H691" s="49" t="n"/>
      <c r="I691" s="48" t="n"/>
      <c r="J691" s="49" t="n"/>
      <c r="K691" s="49" t="n"/>
      <c r="L691" s="49" t="n"/>
      <c r="M691" s="51" t="n"/>
      <c r="N691" s="48" t="n"/>
    </row>
    <row r="692">
      <c r="A692" s="42" t="n"/>
      <c r="B692" s="34" t="n"/>
      <c r="C692" s="34" t="n"/>
      <c r="D692" s="34" t="n"/>
      <c r="E692" s="34" t="n"/>
      <c r="F692" s="34" t="n"/>
      <c r="G692" s="34" t="n"/>
      <c r="H692" s="49" t="n"/>
      <c r="I692" s="48" t="n"/>
      <c r="J692" s="49" t="n"/>
      <c r="K692" s="49" t="n"/>
      <c r="L692" s="49" t="n"/>
      <c r="M692" s="51" t="n"/>
      <c r="N692" s="48" t="n"/>
    </row>
    <row r="693">
      <c r="A693" s="42" t="n"/>
      <c r="B693" s="34" t="n"/>
      <c r="C693" s="34" t="n"/>
      <c r="D693" s="34" t="n"/>
      <c r="E693" s="34" t="n"/>
      <c r="F693" s="34" t="n"/>
      <c r="G693" s="34" t="n"/>
      <c r="H693" s="49" t="n"/>
      <c r="I693" s="48" t="n"/>
      <c r="J693" s="49" t="n"/>
      <c r="K693" s="49" t="n"/>
      <c r="L693" s="49" t="n"/>
      <c r="M693" s="51" t="n"/>
      <c r="N693" s="48" t="n"/>
    </row>
    <row r="694">
      <c r="A694" s="42" t="n"/>
      <c r="B694" s="34" t="n"/>
      <c r="C694" s="34" t="n"/>
      <c r="D694" s="34" t="n"/>
      <c r="E694" s="34" t="n"/>
      <c r="F694" s="34" t="n"/>
      <c r="G694" s="34" t="n"/>
      <c r="H694" s="49" t="n"/>
      <c r="I694" s="48" t="n"/>
      <c r="J694" s="49" t="n"/>
      <c r="K694" s="49" t="n"/>
      <c r="L694" s="49" t="n"/>
      <c r="M694" s="51" t="n"/>
      <c r="N694" s="48" t="n"/>
    </row>
    <row r="695">
      <c r="A695" s="42" t="n"/>
      <c r="B695" s="34" t="n"/>
      <c r="C695" s="34" t="n"/>
      <c r="D695" s="34" t="n"/>
      <c r="E695" s="34" t="n"/>
      <c r="F695" s="34" t="n"/>
      <c r="G695" s="34" t="n"/>
      <c r="H695" s="49" t="n"/>
      <c r="I695" s="48" t="n"/>
      <c r="J695" s="49" t="n"/>
      <c r="K695" s="49" t="n"/>
      <c r="L695" s="49" t="n"/>
      <c r="M695" s="51" t="n"/>
      <c r="N695" s="48" t="n"/>
    </row>
    <row r="696">
      <c r="A696" s="42" t="n"/>
      <c r="B696" s="34" t="n"/>
      <c r="C696" s="34" t="n"/>
      <c r="D696" s="34" t="n"/>
      <c r="E696" s="34" t="n"/>
      <c r="F696" s="34" t="n"/>
      <c r="G696" s="34" t="n"/>
      <c r="H696" s="49" t="n"/>
      <c r="I696" s="48" t="n"/>
      <c r="J696" s="49" t="n"/>
      <c r="K696" s="49" t="n"/>
      <c r="L696" s="49" t="n"/>
      <c r="M696" s="51" t="n"/>
      <c r="N696" s="48" t="n"/>
    </row>
    <row r="697">
      <c r="A697" s="42" t="n"/>
      <c r="B697" s="34" t="n"/>
      <c r="C697" s="34" t="n"/>
      <c r="D697" s="34" t="n"/>
      <c r="E697" s="34" t="n"/>
      <c r="F697" s="34" t="n"/>
      <c r="G697" s="34" t="n"/>
      <c r="H697" s="49" t="n"/>
      <c r="I697" s="48" t="n"/>
      <c r="J697" s="49" t="n"/>
      <c r="K697" s="49" t="n"/>
      <c r="L697" s="49" t="n"/>
      <c r="M697" s="51" t="n"/>
      <c r="N697" s="48" t="n"/>
    </row>
    <row r="698">
      <c r="A698" s="42" t="n"/>
      <c r="B698" s="34" t="n"/>
      <c r="C698" s="34" t="n"/>
      <c r="D698" s="34" t="n"/>
      <c r="E698" s="34" t="n"/>
      <c r="F698" s="34" t="n"/>
      <c r="G698" s="34" t="n"/>
      <c r="H698" s="49" t="n"/>
      <c r="I698" s="48" t="n"/>
      <c r="J698" s="49" t="n"/>
      <c r="K698" s="49" t="n"/>
      <c r="L698" s="49" t="n"/>
      <c r="M698" s="51" t="n"/>
      <c r="N698" s="48" t="n"/>
    </row>
    <row r="699">
      <c r="A699" s="42" t="n"/>
      <c r="B699" s="34" t="n"/>
      <c r="C699" s="34" t="n"/>
      <c r="D699" s="34" t="n"/>
      <c r="E699" s="34" t="n"/>
      <c r="F699" s="34" t="n"/>
      <c r="G699" s="34" t="n"/>
      <c r="H699" s="49" t="n"/>
      <c r="I699" s="48" t="n"/>
      <c r="J699" s="49" t="n"/>
      <c r="K699" s="49" t="n"/>
      <c r="L699" s="49" t="n"/>
      <c r="M699" s="51" t="n"/>
      <c r="N699" s="48" t="n"/>
    </row>
    <row r="700">
      <c r="A700" s="42" t="n"/>
      <c r="B700" s="34" t="n"/>
      <c r="C700" s="34" t="n"/>
      <c r="D700" s="34" t="n"/>
      <c r="E700" s="34" t="n"/>
      <c r="F700" s="34" t="n"/>
      <c r="G700" s="34" t="n"/>
      <c r="H700" s="49" t="n"/>
      <c r="I700" s="48" t="n"/>
      <c r="J700" s="49" t="n"/>
      <c r="K700" s="49" t="n"/>
      <c r="L700" s="49" t="n"/>
      <c r="M700" s="51" t="n"/>
      <c r="N700" s="48" t="n"/>
    </row>
    <row r="701">
      <c r="A701" s="42" t="n"/>
      <c r="B701" s="34" t="n"/>
      <c r="C701" s="34" t="n"/>
      <c r="D701" s="34" t="n"/>
      <c r="E701" s="34" t="n"/>
      <c r="F701" s="34" t="n"/>
      <c r="G701" s="34" t="n"/>
      <c r="H701" s="49" t="n"/>
      <c r="I701" s="48" t="n"/>
      <c r="J701" s="49" t="n"/>
      <c r="K701" s="49" t="n"/>
      <c r="L701" s="49" t="n"/>
      <c r="M701" s="51" t="n"/>
      <c r="N701" s="48" t="n"/>
    </row>
    <row r="702">
      <c r="A702" s="42" t="n"/>
      <c r="B702" s="34" t="n"/>
      <c r="C702" s="34" t="n"/>
      <c r="D702" s="34" t="n"/>
      <c r="E702" s="34" t="n"/>
      <c r="F702" s="34" t="n"/>
      <c r="G702" s="34" t="n"/>
      <c r="H702" s="49" t="n"/>
      <c r="I702" s="48" t="n"/>
      <c r="J702" s="49" t="n"/>
      <c r="K702" s="49" t="n"/>
      <c r="L702" s="49" t="n"/>
      <c r="M702" s="51" t="n"/>
      <c r="N702" s="48" t="n"/>
    </row>
    <row r="703">
      <c r="A703" s="42" t="n"/>
      <c r="B703" s="34" t="n"/>
      <c r="C703" s="34" t="n"/>
      <c r="D703" s="34" t="n"/>
      <c r="E703" s="34" t="n"/>
      <c r="F703" s="34" t="n"/>
      <c r="G703" s="34" t="n"/>
      <c r="H703" s="49" t="n"/>
      <c r="I703" s="48" t="n"/>
      <c r="J703" s="49" t="n"/>
      <c r="K703" s="49" t="n"/>
      <c r="L703" s="49" t="n"/>
      <c r="M703" s="51" t="n"/>
      <c r="N703" s="48" t="n"/>
    </row>
    <row r="704">
      <c r="A704" s="42" t="n"/>
      <c r="B704" s="34" t="n"/>
      <c r="C704" s="34" t="n"/>
      <c r="D704" s="34" t="n"/>
      <c r="E704" s="34" t="n"/>
      <c r="F704" s="34" t="n"/>
      <c r="G704" s="34" t="n"/>
      <c r="H704" s="49" t="n"/>
      <c r="I704" s="48" t="n"/>
      <c r="J704" s="49" t="n"/>
      <c r="K704" s="49" t="n"/>
      <c r="L704" s="49" t="n"/>
      <c r="M704" s="51" t="n"/>
      <c r="N704" s="48" t="n"/>
    </row>
    <row r="705">
      <c r="A705" s="42" t="n"/>
      <c r="B705" s="34" t="n"/>
      <c r="C705" s="34" t="n"/>
      <c r="D705" s="34" t="n"/>
      <c r="E705" s="34" t="n"/>
      <c r="F705" s="34" t="n"/>
      <c r="G705" s="34" t="n"/>
      <c r="H705" s="49" t="n"/>
      <c r="I705" s="48" t="n"/>
      <c r="J705" s="49" t="n"/>
      <c r="K705" s="49" t="n"/>
      <c r="L705" s="49" t="n"/>
      <c r="M705" s="51" t="n"/>
      <c r="N705" s="48" t="n"/>
    </row>
    <row r="706">
      <c r="A706" s="42" t="n"/>
      <c r="B706" s="34" t="n"/>
      <c r="C706" s="34" t="n"/>
      <c r="D706" s="34" t="n"/>
      <c r="E706" s="34" t="n"/>
      <c r="F706" s="34" t="n"/>
      <c r="G706" s="34" t="n"/>
      <c r="H706" s="49" t="n"/>
      <c r="I706" s="48" t="n"/>
      <c r="J706" s="49" t="n"/>
      <c r="K706" s="49" t="n"/>
      <c r="L706" s="49" t="n"/>
      <c r="M706" s="51" t="n"/>
      <c r="N706" s="48" t="n"/>
    </row>
    <row r="707">
      <c r="A707" s="42" t="n"/>
      <c r="B707" s="34" t="n"/>
      <c r="C707" s="34" t="n"/>
      <c r="D707" s="34" t="n"/>
      <c r="E707" s="34" t="n"/>
      <c r="F707" s="34" t="n"/>
      <c r="G707" s="34" t="n"/>
      <c r="H707" s="49" t="n"/>
      <c r="I707" s="48" t="n"/>
      <c r="J707" s="49" t="n"/>
      <c r="K707" s="49" t="n"/>
      <c r="L707" s="49" t="n"/>
      <c r="M707" s="51" t="n"/>
      <c r="N707" s="48" t="n"/>
    </row>
    <row r="708">
      <c r="A708" s="42" t="n"/>
      <c r="B708" s="34" t="n"/>
      <c r="C708" s="34" t="n"/>
      <c r="D708" s="34" t="n"/>
      <c r="E708" s="34" t="n"/>
      <c r="F708" s="34" t="n"/>
      <c r="G708" s="34" t="n"/>
      <c r="H708" s="49" t="n"/>
      <c r="I708" s="48" t="n"/>
      <c r="J708" s="49" t="n"/>
      <c r="K708" s="49" t="n"/>
      <c r="L708" s="49" t="n"/>
      <c r="M708" s="51" t="n"/>
      <c r="N708" s="48" t="n"/>
    </row>
    <row r="709">
      <c r="A709" s="42" t="n"/>
      <c r="B709" s="34" t="n"/>
      <c r="C709" s="34" t="n"/>
      <c r="D709" s="34" t="n"/>
      <c r="E709" s="34" t="n"/>
      <c r="F709" s="34" t="n"/>
      <c r="G709" s="34" t="n"/>
      <c r="H709" s="49" t="n"/>
      <c r="I709" s="48" t="n"/>
      <c r="J709" s="49" t="n"/>
      <c r="K709" s="49" t="n"/>
      <c r="L709" s="49" t="n"/>
      <c r="M709" s="51" t="n"/>
      <c r="N709" s="48" t="n"/>
    </row>
    <row r="710">
      <c r="A710" s="42" t="n"/>
      <c r="B710" s="34" t="n"/>
      <c r="C710" s="34" t="n"/>
      <c r="D710" s="34" t="n"/>
      <c r="E710" s="34" t="n"/>
      <c r="F710" s="34" t="n"/>
      <c r="G710" s="34" t="n"/>
      <c r="H710" s="49" t="n"/>
      <c r="I710" s="48" t="n"/>
      <c r="J710" s="49" t="n"/>
      <c r="K710" s="49" t="n"/>
      <c r="L710" s="49" t="n"/>
      <c r="M710" s="51" t="n"/>
      <c r="N710" s="48" t="n"/>
    </row>
    <row r="711">
      <c r="A711" s="42" t="n"/>
      <c r="B711" s="34" t="n"/>
      <c r="C711" s="34" t="n"/>
      <c r="D711" s="34" t="n"/>
      <c r="E711" s="34" t="n"/>
      <c r="F711" s="34" t="n"/>
      <c r="G711" s="34" t="n"/>
      <c r="H711" s="49" t="n"/>
      <c r="I711" s="48" t="n"/>
      <c r="J711" s="49" t="n"/>
      <c r="K711" s="49" t="n"/>
      <c r="L711" s="49" t="n"/>
      <c r="M711" s="51" t="n"/>
      <c r="N711" s="48" t="n"/>
    </row>
    <row r="712">
      <c r="A712" s="42" t="n"/>
      <c r="B712" s="34" t="n"/>
      <c r="C712" s="34" t="n"/>
      <c r="D712" s="34" t="n"/>
      <c r="E712" s="34" t="n"/>
      <c r="F712" s="34" t="n"/>
      <c r="G712" s="34" t="n"/>
      <c r="H712" s="49" t="n"/>
      <c r="I712" s="48" t="n"/>
      <c r="J712" s="49" t="n"/>
      <c r="K712" s="49" t="n"/>
      <c r="L712" s="49" t="n"/>
      <c r="M712" s="51" t="n"/>
      <c r="N712" s="48" t="n"/>
    </row>
    <row r="713">
      <c r="A713" s="42" t="n"/>
      <c r="B713" s="34" t="n"/>
      <c r="C713" s="34" t="n"/>
      <c r="D713" s="34" t="n"/>
      <c r="E713" s="34" t="n"/>
      <c r="F713" s="34" t="n"/>
      <c r="G713" s="34" t="n"/>
      <c r="H713" s="49" t="n"/>
      <c r="I713" s="48" t="n"/>
      <c r="J713" s="49" t="n"/>
      <c r="K713" s="49" t="n"/>
      <c r="L713" s="49" t="n"/>
      <c r="M713" s="51" t="n"/>
      <c r="N713" s="48" t="n"/>
    </row>
    <row r="714">
      <c r="A714" s="42" t="n"/>
      <c r="B714" s="34" t="n"/>
      <c r="C714" s="34" t="n"/>
      <c r="D714" s="34" t="n"/>
      <c r="E714" s="34" t="n"/>
      <c r="F714" s="34" t="n"/>
      <c r="G714" s="34" t="n"/>
      <c r="H714" s="49" t="n"/>
      <c r="I714" s="48" t="n"/>
      <c r="J714" s="49" t="n"/>
      <c r="K714" s="49" t="n"/>
      <c r="L714" s="49" t="n"/>
      <c r="M714" s="51" t="n"/>
      <c r="N714" s="48" t="n"/>
    </row>
    <row r="715">
      <c r="A715" s="42" t="n"/>
      <c r="B715" s="34" t="n"/>
      <c r="C715" s="34" t="n"/>
      <c r="D715" s="34" t="n"/>
      <c r="E715" s="34" t="n"/>
      <c r="F715" s="34" t="n"/>
      <c r="G715" s="34" t="n"/>
      <c r="H715" s="49" t="n"/>
      <c r="I715" s="48" t="n"/>
      <c r="J715" s="49" t="n"/>
      <c r="K715" s="49" t="n"/>
      <c r="L715" s="49" t="n"/>
      <c r="M715" s="51" t="n"/>
      <c r="N715" s="48" t="n"/>
    </row>
    <row r="716">
      <c r="A716" s="42" t="n"/>
      <c r="B716" s="34" t="n"/>
      <c r="C716" s="34" t="n"/>
      <c r="D716" s="34" t="n"/>
      <c r="E716" s="34" t="n"/>
      <c r="F716" s="34" t="n"/>
      <c r="G716" s="34" t="n"/>
      <c r="H716" s="49" t="n"/>
      <c r="I716" s="48" t="n"/>
      <c r="J716" s="49" t="n"/>
      <c r="K716" s="49" t="n"/>
      <c r="L716" s="49" t="n"/>
      <c r="M716" s="51" t="n"/>
      <c r="N716" s="48" t="n"/>
    </row>
    <row r="717">
      <c r="A717" s="42" t="n"/>
      <c r="B717" s="34" t="n"/>
      <c r="C717" s="34" t="n"/>
      <c r="D717" s="34" t="n"/>
      <c r="E717" s="34" t="n"/>
      <c r="F717" s="34" t="n"/>
      <c r="G717" s="34" t="n"/>
      <c r="H717" s="49" t="n"/>
      <c r="I717" s="48" t="n"/>
      <c r="J717" s="49" t="n"/>
      <c r="K717" s="49" t="n"/>
      <c r="L717" s="49" t="n"/>
      <c r="M717" s="51" t="n"/>
      <c r="N717" s="48" t="n"/>
    </row>
    <row r="718">
      <c r="A718" s="42" t="n"/>
      <c r="B718" s="34" t="n"/>
      <c r="C718" s="34" t="n"/>
      <c r="D718" s="34" t="n"/>
      <c r="E718" s="34" t="n"/>
      <c r="F718" s="34" t="n"/>
      <c r="G718" s="34" t="n"/>
      <c r="H718" s="49" t="n"/>
      <c r="I718" s="48" t="n"/>
      <c r="J718" s="49" t="n"/>
      <c r="K718" s="49" t="n"/>
      <c r="L718" s="49" t="n"/>
      <c r="M718" s="51" t="n"/>
      <c r="N718" s="48" t="n"/>
    </row>
    <row r="719">
      <c r="A719" s="42" t="n"/>
      <c r="B719" s="34" t="n"/>
      <c r="C719" s="34" t="n"/>
      <c r="D719" s="34" t="n"/>
      <c r="E719" s="34" t="n"/>
      <c r="F719" s="34" t="n"/>
      <c r="G719" s="34" t="n"/>
      <c r="H719" s="49" t="n"/>
      <c r="I719" s="48" t="n"/>
      <c r="J719" s="49" t="n"/>
      <c r="K719" s="49" t="n"/>
      <c r="L719" s="49" t="n"/>
      <c r="M719" s="51" t="n"/>
      <c r="N719" s="48" t="n"/>
    </row>
    <row r="720">
      <c r="A720" s="42" t="n"/>
      <c r="B720" s="34" t="n"/>
      <c r="C720" s="34" t="n"/>
      <c r="D720" s="34" t="n"/>
      <c r="E720" s="34" t="n"/>
      <c r="F720" s="34" t="n"/>
      <c r="G720" s="34" t="n"/>
      <c r="H720" s="49" t="n"/>
      <c r="I720" s="48" t="n"/>
      <c r="J720" s="49" t="n"/>
      <c r="K720" s="49" t="n"/>
      <c r="L720" s="49" t="n"/>
      <c r="M720" s="51" t="n"/>
      <c r="N720" s="48" t="n"/>
    </row>
    <row r="721">
      <c r="A721" s="42" t="n"/>
      <c r="B721" s="34" t="n"/>
      <c r="C721" s="34" t="n"/>
      <c r="D721" s="34" t="n"/>
      <c r="E721" s="34" t="n"/>
      <c r="F721" s="34" t="n"/>
      <c r="G721" s="34" t="n"/>
      <c r="H721" s="49" t="n"/>
      <c r="I721" s="48" t="n"/>
      <c r="J721" s="49" t="n"/>
      <c r="K721" s="49" t="n"/>
      <c r="L721" s="49" t="n"/>
      <c r="M721" s="51" t="n"/>
      <c r="N721" s="48" t="n"/>
    </row>
    <row r="722">
      <c r="A722" s="42" t="n"/>
      <c r="B722" s="34" t="n"/>
      <c r="C722" s="34" t="n"/>
      <c r="D722" s="34" t="n"/>
      <c r="E722" s="34" t="n"/>
      <c r="F722" s="34" t="n"/>
      <c r="G722" s="34" t="n"/>
      <c r="H722" s="49" t="n"/>
      <c r="I722" s="48" t="n"/>
      <c r="J722" s="49" t="n"/>
      <c r="K722" s="49" t="n"/>
      <c r="L722" s="49" t="n"/>
      <c r="M722" s="51" t="n"/>
      <c r="N722" s="48" t="n"/>
    </row>
    <row r="723">
      <c r="A723" s="42" t="n"/>
      <c r="B723" s="34" t="n"/>
      <c r="C723" s="34" t="n"/>
      <c r="D723" s="34" t="n"/>
      <c r="E723" s="34" t="n"/>
      <c r="F723" s="34" t="n"/>
      <c r="G723" s="34" t="n"/>
      <c r="H723" s="49" t="n"/>
      <c r="I723" s="48" t="n"/>
      <c r="J723" s="49" t="n"/>
      <c r="K723" s="49" t="n"/>
      <c r="L723" s="49" t="n"/>
      <c r="M723" s="51" t="n"/>
      <c r="N723" s="48" t="n"/>
    </row>
    <row r="724">
      <c r="A724" s="42" t="n"/>
      <c r="B724" s="34" t="n"/>
      <c r="C724" s="34" t="n"/>
      <c r="D724" s="34" t="n"/>
      <c r="E724" s="34" t="n"/>
      <c r="F724" s="34" t="n"/>
      <c r="G724" s="34" t="n"/>
      <c r="H724" s="49" t="n"/>
      <c r="I724" s="48" t="n"/>
      <c r="J724" s="49" t="n"/>
      <c r="K724" s="49" t="n"/>
      <c r="L724" s="49" t="n"/>
      <c r="M724" s="51" t="n"/>
      <c r="N724" s="48" t="n"/>
    </row>
    <row r="725">
      <c r="A725" s="42" t="n"/>
      <c r="B725" s="34" t="n"/>
      <c r="C725" s="34" t="n"/>
      <c r="D725" s="34" t="n"/>
      <c r="E725" s="34" t="n"/>
      <c r="F725" s="34" t="n"/>
      <c r="G725" s="34" t="n"/>
      <c r="H725" s="49" t="n"/>
      <c r="I725" s="48" t="n"/>
      <c r="J725" s="49" t="n"/>
      <c r="K725" s="49" t="n"/>
      <c r="L725" s="49" t="n"/>
      <c r="M725" s="51" t="n"/>
      <c r="N725" s="48" t="n"/>
    </row>
    <row r="726">
      <c r="A726" s="42" t="n"/>
      <c r="B726" s="34" t="n"/>
      <c r="C726" s="34" t="n"/>
      <c r="D726" s="34" t="n"/>
      <c r="E726" s="34" t="n"/>
      <c r="F726" s="34" t="n"/>
      <c r="G726" s="34" t="n"/>
      <c r="H726" s="49" t="n"/>
      <c r="I726" s="48" t="n"/>
      <c r="J726" s="49" t="n"/>
      <c r="K726" s="49" t="n"/>
      <c r="L726" s="49" t="n"/>
      <c r="M726" s="51" t="n"/>
      <c r="N726" s="48" t="n"/>
    </row>
    <row r="727">
      <c r="A727" s="42" t="n"/>
      <c r="B727" s="34" t="n"/>
      <c r="C727" s="34" t="n"/>
      <c r="D727" s="34" t="n"/>
      <c r="E727" s="34" t="n"/>
      <c r="F727" s="34" t="n"/>
      <c r="G727" s="34" t="n"/>
      <c r="H727" s="49" t="n"/>
      <c r="I727" s="48" t="n"/>
      <c r="J727" s="49" t="n"/>
      <c r="K727" s="49" t="n"/>
      <c r="L727" s="49" t="n"/>
      <c r="M727" s="51" t="n"/>
      <c r="N727" s="48" t="n"/>
    </row>
    <row r="728">
      <c r="A728" s="42" t="n"/>
      <c r="B728" s="34" t="n"/>
      <c r="C728" s="34" t="n"/>
      <c r="D728" s="34" t="n"/>
      <c r="E728" s="34" t="n"/>
      <c r="F728" s="34" t="n"/>
      <c r="G728" s="34" t="n"/>
      <c r="H728" s="49" t="n"/>
      <c r="I728" s="48" t="n"/>
      <c r="J728" s="49" t="n"/>
      <c r="K728" s="49" t="n"/>
      <c r="L728" s="49" t="n"/>
      <c r="M728" s="51" t="n"/>
      <c r="N728" s="48" t="n"/>
    </row>
    <row r="729">
      <c r="A729" s="42" t="n"/>
      <c r="B729" s="34" t="n"/>
      <c r="C729" s="34" t="n"/>
      <c r="D729" s="34" t="n"/>
      <c r="E729" s="34" t="n"/>
      <c r="F729" s="34" t="n"/>
      <c r="G729" s="34" t="n"/>
      <c r="H729" s="49" t="n"/>
      <c r="I729" s="48" t="n"/>
      <c r="J729" s="49" t="n"/>
      <c r="K729" s="49" t="n"/>
      <c r="L729" s="49" t="n"/>
      <c r="M729" s="51" t="n"/>
      <c r="N729" s="48" t="n"/>
    </row>
    <row r="730">
      <c r="A730" s="42" t="n"/>
      <c r="B730" s="34" t="n"/>
      <c r="C730" s="34" t="n"/>
      <c r="D730" s="34" t="n"/>
      <c r="E730" s="34" t="n"/>
      <c r="F730" s="34" t="n"/>
      <c r="G730" s="34" t="n"/>
      <c r="H730" s="49" t="n"/>
      <c r="I730" s="48" t="n"/>
      <c r="J730" s="49" t="n"/>
      <c r="K730" s="49" t="n"/>
      <c r="L730" s="49" t="n"/>
      <c r="M730" s="51" t="n"/>
      <c r="N730" s="48" t="n"/>
    </row>
    <row r="731">
      <c r="A731" s="42" t="n"/>
      <c r="B731" s="34" t="n"/>
      <c r="C731" s="34" t="n"/>
      <c r="D731" s="34" t="n"/>
      <c r="E731" s="34" t="n"/>
      <c r="F731" s="34" t="n"/>
      <c r="G731" s="34" t="n"/>
      <c r="H731" s="49" t="n"/>
      <c r="I731" s="48" t="n"/>
      <c r="J731" s="49" t="n"/>
      <c r="K731" s="49" t="n"/>
      <c r="L731" s="49" t="n"/>
      <c r="M731" s="51" t="n"/>
      <c r="N731" s="48" t="n"/>
    </row>
    <row r="732">
      <c r="A732" s="42" t="n"/>
      <c r="B732" s="34" t="n"/>
      <c r="C732" s="34" t="n"/>
      <c r="D732" s="34" t="n"/>
      <c r="E732" s="34" t="n"/>
      <c r="F732" s="34" t="n"/>
      <c r="G732" s="34" t="n"/>
      <c r="H732" s="49" t="n"/>
      <c r="I732" s="48" t="n"/>
      <c r="J732" s="49" t="n"/>
      <c r="K732" s="49" t="n"/>
      <c r="L732" s="49" t="n"/>
      <c r="M732" s="51" t="n"/>
      <c r="N732" s="48" t="n"/>
    </row>
    <row r="733">
      <c r="A733" s="42" t="n"/>
      <c r="B733" s="34" t="n"/>
      <c r="C733" s="34" t="n"/>
      <c r="D733" s="34" t="n"/>
      <c r="E733" s="34" t="n"/>
      <c r="F733" s="34" t="n"/>
      <c r="G733" s="34" t="n"/>
      <c r="H733" s="49" t="n"/>
      <c r="I733" s="48" t="n"/>
      <c r="J733" s="49" t="n"/>
      <c r="K733" s="49" t="n"/>
      <c r="L733" s="49" t="n"/>
      <c r="M733" s="51" t="n"/>
      <c r="N733" s="48" t="n"/>
    </row>
    <row r="734">
      <c r="A734" s="42" t="n"/>
      <c r="B734" s="34" t="n"/>
      <c r="C734" s="34" t="n"/>
      <c r="D734" s="34" t="n"/>
      <c r="E734" s="34" t="n"/>
      <c r="F734" s="34" t="n"/>
      <c r="G734" s="34" t="n"/>
      <c r="H734" s="49" t="n"/>
      <c r="I734" s="48" t="n"/>
      <c r="J734" s="49" t="n"/>
      <c r="K734" s="49" t="n"/>
      <c r="L734" s="49" t="n"/>
      <c r="M734" s="51" t="n"/>
      <c r="N734" s="48" t="n"/>
    </row>
    <row r="735">
      <c r="A735" s="42" t="n"/>
      <c r="B735" s="34" t="n"/>
      <c r="C735" s="34" t="n"/>
      <c r="D735" s="34" t="n"/>
      <c r="E735" s="34" t="n"/>
      <c r="F735" s="34" t="n"/>
      <c r="G735" s="34" t="n"/>
      <c r="H735" s="49" t="n"/>
      <c r="I735" s="48" t="n"/>
      <c r="J735" s="49" t="n"/>
      <c r="K735" s="49" t="n"/>
      <c r="L735" s="49" t="n"/>
      <c r="M735" s="51" t="n"/>
      <c r="N735" s="48" t="n"/>
    </row>
    <row r="736">
      <c r="A736" s="42" t="n"/>
      <c r="B736" s="34" t="n"/>
      <c r="C736" s="34" t="n"/>
      <c r="D736" s="34" t="n"/>
      <c r="E736" s="34" t="n"/>
      <c r="F736" s="34" t="n"/>
      <c r="G736" s="34" t="n"/>
      <c r="H736" s="49" t="n"/>
      <c r="I736" s="48" t="n"/>
      <c r="J736" s="49" t="n"/>
      <c r="K736" s="49" t="n"/>
      <c r="L736" s="49" t="n"/>
      <c r="M736" s="51" t="n"/>
      <c r="N736" s="48" t="n"/>
    </row>
    <row r="737">
      <c r="A737" s="42" t="n"/>
      <c r="B737" s="34" t="n"/>
      <c r="C737" s="34" t="n"/>
      <c r="D737" s="34" t="n"/>
      <c r="E737" s="34" t="n"/>
      <c r="F737" s="34" t="n"/>
      <c r="G737" s="34" t="n"/>
      <c r="H737" s="49" t="n"/>
      <c r="I737" s="48" t="n"/>
      <c r="J737" s="49" t="n"/>
      <c r="K737" s="49" t="n"/>
      <c r="L737" s="49" t="n"/>
      <c r="M737" s="51" t="n"/>
      <c r="N737" s="48" t="n"/>
    </row>
    <row r="738">
      <c r="A738" s="42" t="n"/>
      <c r="B738" s="34" t="n"/>
      <c r="C738" s="34" t="n"/>
      <c r="D738" s="34" t="n"/>
      <c r="E738" s="34" t="n"/>
      <c r="F738" s="34" t="n"/>
      <c r="G738" s="34" t="n"/>
      <c r="H738" s="49" t="n"/>
      <c r="I738" s="48" t="n"/>
      <c r="J738" s="49" t="n"/>
      <c r="K738" s="49" t="n"/>
      <c r="L738" s="49" t="n"/>
      <c r="M738" s="51" t="n"/>
      <c r="N738" s="48" t="n"/>
    </row>
    <row r="739">
      <c r="A739" s="42" t="n"/>
      <c r="B739" s="34" t="n"/>
      <c r="C739" s="34" t="n"/>
      <c r="D739" s="34" t="n"/>
      <c r="E739" s="34" t="n"/>
      <c r="F739" s="34" t="n"/>
      <c r="G739" s="34" t="n"/>
      <c r="H739" s="49" t="n"/>
      <c r="I739" s="48" t="n"/>
      <c r="J739" s="49" t="n"/>
      <c r="K739" s="49" t="n"/>
      <c r="L739" s="49" t="n"/>
      <c r="M739" s="51" t="n"/>
      <c r="N739" s="48" t="n"/>
    </row>
    <row r="740">
      <c r="A740" s="42" t="n"/>
      <c r="B740" s="34" t="n"/>
      <c r="C740" s="34" t="n"/>
      <c r="D740" s="34" t="n"/>
      <c r="E740" s="34" t="n"/>
      <c r="F740" s="34" t="n"/>
      <c r="G740" s="34" t="n"/>
      <c r="H740" s="49" t="n"/>
      <c r="I740" s="48" t="n"/>
      <c r="J740" s="49" t="n"/>
      <c r="K740" s="49" t="n"/>
      <c r="L740" s="49" t="n"/>
      <c r="M740" s="51" t="n"/>
      <c r="N740" s="48" t="n"/>
    </row>
    <row r="741">
      <c r="A741" s="42" t="n"/>
      <c r="B741" s="34" t="n"/>
      <c r="C741" s="34" t="n"/>
      <c r="D741" s="34" t="n"/>
      <c r="E741" s="34" t="n"/>
      <c r="F741" s="34" t="n"/>
      <c r="G741" s="34" t="n"/>
      <c r="H741" s="49" t="n"/>
      <c r="I741" s="48" t="n"/>
      <c r="J741" s="49" t="n"/>
      <c r="K741" s="49" t="n"/>
      <c r="L741" s="49" t="n"/>
      <c r="M741" s="51" t="n"/>
      <c r="N741" s="48" t="n"/>
    </row>
    <row r="742">
      <c r="A742" s="42" t="n"/>
      <c r="B742" s="34" t="n"/>
      <c r="C742" s="34" t="n"/>
      <c r="D742" s="34" t="n"/>
      <c r="E742" s="34" t="n"/>
      <c r="F742" s="34" t="n"/>
      <c r="G742" s="34" t="n"/>
      <c r="H742" s="49" t="n"/>
      <c r="I742" s="48" t="n"/>
      <c r="J742" s="49" t="n"/>
      <c r="K742" s="49" t="n"/>
      <c r="L742" s="49" t="n"/>
      <c r="M742" s="51" t="n"/>
      <c r="N742" s="48" t="n"/>
    </row>
    <row r="743">
      <c r="A743" s="42" t="n"/>
      <c r="B743" s="34" t="n"/>
      <c r="C743" s="34" t="n"/>
      <c r="D743" s="34" t="n"/>
      <c r="E743" s="34" t="n"/>
      <c r="F743" s="34" t="n"/>
      <c r="G743" s="34" t="n"/>
      <c r="H743" s="49" t="n"/>
      <c r="I743" s="48" t="n"/>
      <c r="J743" s="49" t="n"/>
      <c r="K743" s="49" t="n"/>
      <c r="L743" s="49" t="n"/>
      <c r="M743" s="51" t="n"/>
      <c r="N743" s="48" t="n"/>
    </row>
    <row r="744">
      <c r="A744" s="42" t="n"/>
      <c r="B744" s="34" t="n"/>
      <c r="C744" s="34" t="n"/>
      <c r="D744" s="34" t="n"/>
      <c r="E744" s="34" t="n"/>
      <c r="F744" s="34" t="n"/>
      <c r="G744" s="34" t="n"/>
      <c r="H744" s="49" t="n"/>
      <c r="I744" s="48" t="n"/>
      <c r="J744" s="49" t="n"/>
      <c r="K744" s="49" t="n"/>
      <c r="L744" s="49" t="n"/>
      <c r="M744" s="51" t="n"/>
      <c r="N744" s="48" t="n"/>
    </row>
    <row r="745">
      <c r="A745" s="42" t="n"/>
      <c r="B745" s="34" t="n"/>
      <c r="C745" s="34" t="n"/>
      <c r="D745" s="34" t="n"/>
      <c r="E745" s="34" t="n"/>
      <c r="F745" s="34" t="n"/>
      <c r="G745" s="34" t="n"/>
      <c r="H745" s="49" t="n"/>
      <c r="I745" s="48" t="n"/>
      <c r="J745" s="49" t="n"/>
      <c r="K745" s="49" t="n"/>
      <c r="L745" s="49" t="n"/>
      <c r="M745" s="51" t="n"/>
      <c r="N745" s="48" t="n"/>
    </row>
    <row r="746">
      <c r="A746" s="42" t="n"/>
      <c r="B746" s="34" t="n"/>
      <c r="C746" s="34" t="n"/>
      <c r="D746" s="34" t="n"/>
      <c r="E746" s="34" t="n"/>
      <c r="F746" s="34" t="n"/>
      <c r="G746" s="34" t="n"/>
      <c r="H746" s="49" t="n"/>
      <c r="I746" s="48" t="n"/>
      <c r="J746" s="49" t="n"/>
      <c r="K746" s="49" t="n"/>
      <c r="L746" s="49" t="n"/>
      <c r="M746" s="51" t="n"/>
      <c r="N746" s="48" t="n"/>
    </row>
    <row r="747">
      <c r="A747" s="42" t="n"/>
      <c r="B747" s="34" t="n"/>
      <c r="C747" s="34" t="n"/>
      <c r="D747" s="34" t="n"/>
      <c r="E747" s="34" t="n"/>
      <c r="F747" s="34" t="n"/>
      <c r="G747" s="34" t="n"/>
      <c r="H747" s="49" t="n"/>
      <c r="I747" s="48" t="n"/>
      <c r="J747" s="49" t="n"/>
      <c r="K747" s="49" t="n"/>
      <c r="L747" s="49" t="n"/>
      <c r="M747" s="51" t="n"/>
      <c r="N747" s="48" t="n"/>
    </row>
    <row r="748">
      <c r="A748" s="42" t="n"/>
      <c r="B748" s="34" t="n"/>
      <c r="C748" s="34" t="n"/>
      <c r="D748" s="34" t="n"/>
      <c r="E748" s="34" t="n"/>
      <c r="F748" s="34" t="n"/>
      <c r="G748" s="34" t="n"/>
      <c r="H748" s="49" t="n"/>
      <c r="I748" s="48" t="n"/>
      <c r="J748" s="49" t="n"/>
      <c r="K748" s="49" t="n"/>
      <c r="L748" s="49" t="n"/>
      <c r="M748" s="51" t="n"/>
      <c r="N748" s="48" t="n"/>
    </row>
    <row r="749">
      <c r="A749" s="42" t="n"/>
      <c r="B749" s="34" t="n"/>
      <c r="C749" s="34" t="n"/>
      <c r="D749" s="34" t="n"/>
      <c r="E749" s="34" t="n"/>
      <c r="F749" s="34" t="n"/>
      <c r="G749" s="34" t="n"/>
      <c r="H749" s="49" t="n"/>
      <c r="I749" s="48" t="n"/>
      <c r="J749" s="49" t="n"/>
      <c r="K749" s="49" t="n"/>
      <c r="L749" s="49" t="n"/>
      <c r="M749" s="51" t="n"/>
      <c r="N749" s="48" t="n"/>
    </row>
    <row r="750">
      <c r="A750" s="42" t="n"/>
      <c r="B750" s="34" t="n"/>
      <c r="C750" s="34" t="n"/>
      <c r="D750" s="34" t="n"/>
      <c r="E750" s="34" t="n"/>
      <c r="F750" s="34" t="n"/>
      <c r="G750" s="34" t="n"/>
      <c r="H750" s="49" t="n"/>
      <c r="I750" s="48" t="n"/>
      <c r="J750" s="49" t="n"/>
      <c r="K750" s="49" t="n"/>
      <c r="L750" s="49" t="n"/>
      <c r="M750" s="51" t="n"/>
      <c r="N750" s="48" t="n"/>
    </row>
    <row r="751">
      <c r="A751" s="42" t="n"/>
      <c r="B751" s="34" t="n"/>
      <c r="C751" s="34" t="n"/>
      <c r="D751" s="34" t="n"/>
      <c r="E751" s="34" t="n"/>
      <c r="F751" s="34" t="n"/>
      <c r="G751" s="34" t="n"/>
      <c r="H751" s="49" t="n"/>
      <c r="I751" s="48" t="n"/>
      <c r="J751" s="49" t="n"/>
      <c r="K751" s="49" t="n"/>
      <c r="L751" s="49" t="n"/>
      <c r="M751" s="51" t="n"/>
      <c r="N751" s="48" t="n"/>
    </row>
    <row r="752">
      <c r="A752" s="42" t="n"/>
      <c r="B752" s="34" t="n"/>
      <c r="C752" s="34" t="n"/>
      <c r="D752" s="34" t="n"/>
      <c r="E752" s="34" t="n"/>
      <c r="F752" s="34" t="n"/>
      <c r="G752" s="34" t="n"/>
      <c r="H752" s="49" t="n"/>
      <c r="I752" s="48" t="n"/>
      <c r="J752" s="49" t="n"/>
      <c r="K752" s="49" t="n"/>
      <c r="L752" s="49" t="n"/>
      <c r="M752" s="51" t="n"/>
      <c r="N752" s="48" t="n"/>
    </row>
    <row r="753">
      <c r="A753" s="42" t="n"/>
      <c r="B753" s="34" t="n"/>
      <c r="C753" s="34" t="n"/>
      <c r="D753" s="34" t="n"/>
      <c r="E753" s="34" t="n"/>
      <c r="F753" s="34" t="n"/>
      <c r="G753" s="34" t="n"/>
      <c r="H753" s="49" t="n"/>
      <c r="I753" s="48" t="n"/>
      <c r="J753" s="49" t="n"/>
      <c r="K753" s="49" t="n"/>
      <c r="L753" s="49" t="n"/>
      <c r="M753" s="51" t="n"/>
      <c r="N753" s="48" t="n"/>
    </row>
    <row r="754">
      <c r="A754" s="42" t="n"/>
      <c r="B754" s="34" t="n"/>
      <c r="C754" s="34" t="n"/>
      <c r="D754" s="34" t="n"/>
      <c r="E754" s="34" t="n"/>
      <c r="F754" s="34" t="n"/>
      <c r="G754" s="34" t="n"/>
      <c r="H754" s="49" t="n"/>
      <c r="I754" s="48" t="n"/>
      <c r="J754" s="49" t="n"/>
      <c r="K754" s="49" t="n"/>
      <c r="L754" s="49" t="n"/>
      <c r="M754" s="51" t="n"/>
      <c r="N754" s="48" t="n"/>
    </row>
    <row r="755">
      <c r="A755" s="42" t="n"/>
      <c r="B755" s="34" t="n"/>
      <c r="C755" s="34" t="n"/>
      <c r="D755" s="34" t="n"/>
      <c r="E755" s="34" t="n"/>
      <c r="F755" s="34" t="n"/>
      <c r="G755" s="34" t="n"/>
      <c r="H755" s="49" t="n"/>
      <c r="I755" s="48" t="n"/>
      <c r="J755" s="49" t="n"/>
      <c r="K755" s="49" t="n"/>
      <c r="L755" s="49" t="n"/>
      <c r="M755" s="51" t="n"/>
      <c r="N755" s="48" t="n"/>
    </row>
    <row r="756">
      <c r="A756" s="42" t="n"/>
      <c r="B756" s="34" t="n"/>
      <c r="C756" s="34" t="n"/>
      <c r="D756" s="34" t="n"/>
      <c r="E756" s="34" t="n"/>
      <c r="F756" s="34" t="n"/>
      <c r="G756" s="34" t="n"/>
      <c r="H756" s="49" t="n"/>
      <c r="I756" s="48" t="n"/>
      <c r="J756" s="49" t="n"/>
      <c r="K756" s="49" t="n"/>
      <c r="L756" s="49" t="n"/>
      <c r="M756" s="51" t="n"/>
      <c r="N756" s="48" t="n"/>
    </row>
    <row r="757">
      <c r="A757" s="42" t="n"/>
      <c r="B757" s="34" t="n"/>
      <c r="C757" s="34" t="n"/>
      <c r="D757" s="34" t="n"/>
      <c r="E757" s="34" t="n"/>
      <c r="F757" s="34" t="n"/>
      <c r="G757" s="34" t="n"/>
      <c r="H757" s="49" t="n"/>
      <c r="I757" s="48" t="n"/>
      <c r="J757" s="49" t="n"/>
      <c r="K757" s="49" t="n"/>
      <c r="L757" s="49" t="n"/>
      <c r="M757" s="51" t="n"/>
      <c r="N757" s="48" t="n"/>
    </row>
    <row r="758">
      <c r="A758" s="42" t="n"/>
      <c r="B758" s="34" t="n"/>
      <c r="C758" s="34" t="n"/>
      <c r="D758" s="34" t="n"/>
      <c r="E758" s="34" t="n"/>
      <c r="F758" s="34" t="n"/>
      <c r="G758" s="34" t="n"/>
      <c r="H758" s="49" t="n"/>
      <c r="I758" s="48" t="n"/>
      <c r="J758" s="49" t="n"/>
      <c r="K758" s="49" t="n"/>
      <c r="L758" s="49" t="n"/>
      <c r="M758" s="51" t="n"/>
      <c r="N758" s="48" t="n"/>
    </row>
    <row r="759">
      <c r="A759" s="42" t="n"/>
      <c r="B759" s="34" t="n"/>
      <c r="C759" s="34" t="n"/>
      <c r="D759" s="34" t="n"/>
      <c r="E759" s="34" t="n"/>
      <c r="F759" s="34" t="n"/>
      <c r="G759" s="34" t="n"/>
      <c r="H759" s="49" t="n"/>
      <c r="I759" s="48" t="n"/>
      <c r="J759" s="49" t="n"/>
      <c r="K759" s="49" t="n"/>
      <c r="L759" s="49" t="n"/>
      <c r="M759" s="51" t="n"/>
      <c r="N759" s="48" t="n"/>
    </row>
    <row r="760">
      <c r="A760" s="42" t="n"/>
      <c r="B760" s="34" t="n"/>
      <c r="C760" s="34" t="n"/>
      <c r="D760" s="34" t="n"/>
      <c r="E760" s="34" t="n"/>
      <c r="F760" s="34" t="n"/>
      <c r="G760" s="34" t="n"/>
      <c r="H760" s="49" t="n"/>
      <c r="I760" s="48" t="n"/>
      <c r="J760" s="49" t="n"/>
      <c r="K760" s="49" t="n"/>
      <c r="L760" s="49" t="n"/>
      <c r="M760" s="51" t="n"/>
      <c r="N760" s="48" t="n"/>
    </row>
    <row r="761">
      <c r="A761" s="42" t="n"/>
      <c r="B761" s="34" t="n"/>
      <c r="C761" s="34" t="n"/>
      <c r="D761" s="34" t="n"/>
      <c r="E761" s="34" t="n"/>
      <c r="F761" s="34" t="n"/>
      <c r="G761" s="34" t="n"/>
      <c r="H761" s="49" t="n"/>
      <c r="I761" s="48" t="n"/>
      <c r="J761" s="49" t="n"/>
      <c r="K761" s="49" t="n"/>
      <c r="L761" s="49" t="n"/>
      <c r="M761" s="51" t="n"/>
      <c r="N761" s="48" t="n"/>
    </row>
    <row r="762">
      <c r="A762" s="42" t="n"/>
      <c r="B762" s="34" t="n"/>
      <c r="C762" s="34" t="n"/>
      <c r="D762" s="34" t="n"/>
      <c r="E762" s="34" t="n"/>
      <c r="F762" s="34" t="n"/>
      <c r="G762" s="34" t="n"/>
      <c r="H762" s="49" t="n"/>
      <c r="I762" s="48" t="n"/>
      <c r="J762" s="49" t="n"/>
      <c r="K762" s="49" t="n"/>
      <c r="L762" s="49" t="n"/>
      <c r="M762" s="51" t="n"/>
      <c r="N762" s="48" t="n"/>
    </row>
    <row r="763">
      <c r="A763" s="42" t="n"/>
      <c r="B763" s="34" t="n"/>
      <c r="C763" s="34" t="n"/>
      <c r="D763" s="34" t="n"/>
      <c r="E763" s="34" t="n"/>
      <c r="F763" s="34" t="n"/>
      <c r="G763" s="34" t="n"/>
      <c r="H763" s="49" t="n"/>
      <c r="I763" s="48" t="n"/>
      <c r="J763" s="49" t="n"/>
      <c r="K763" s="49" t="n"/>
      <c r="L763" s="49" t="n"/>
      <c r="M763" s="51" t="n"/>
      <c r="N763" s="48" t="n"/>
    </row>
    <row r="764">
      <c r="A764" s="42" t="n"/>
      <c r="B764" s="34" t="n"/>
      <c r="C764" s="34" t="n"/>
      <c r="D764" s="34" t="n"/>
      <c r="E764" s="34" t="n"/>
      <c r="F764" s="34" t="n"/>
      <c r="G764" s="34" t="n"/>
      <c r="H764" s="49" t="n"/>
      <c r="I764" s="48" t="n"/>
      <c r="J764" s="49" t="n"/>
      <c r="K764" s="49" t="n"/>
      <c r="L764" s="49" t="n"/>
      <c r="M764" s="51" t="n"/>
      <c r="N764" s="48" t="n"/>
    </row>
    <row r="765">
      <c r="A765" s="42" t="n"/>
      <c r="B765" s="34" t="n"/>
      <c r="C765" s="34" t="n"/>
      <c r="D765" s="34" t="n"/>
      <c r="E765" s="34" t="n"/>
      <c r="F765" s="34" t="n"/>
      <c r="G765" s="34" t="n"/>
      <c r="H765" s="49" t="n"/>
      <c r="I765" s="48" t="n"/>
      <c r="J765" s="49" t="n"/>
      <c r="K765" s="49" t="n"/>
      <c r="L765" s="49" t="n"/>
      <c r="M765" s="51" t="n"/>
      <c r="N765" s="48" t="n"/>
    </row>
    <row r="766">
      <c r="A766" s="42" t="n"/>
      <c r="B766" s="34" t="n"/>
      <c r="C766" s="34" t="n"/>
      <c r="D766" s="34" t="n"/>
      <c r="E766" s="34" t="n"/>
      <c r="F766" s="34" t="n"/>
      <c r="G766" s="34" t="n"/>
      <c r="H766" s="49" t="n"/>
      <c r="I766" s="48" t="n"/>
      <c r="J766" s="49" t="n"/>
      <c r="K766" s="49" t="n"/>
      <c r="L766" s="49" t="n"/>
      <c r="M766" s="51" t="n"/>
      <c r="N766" s="48" t="n"/>
    </row>
    <row r="767">
      <c r="A767" s="42" t="n"/>
      <c r="B767" s="34" t="n"/>
      <c r="C767" s="34" t="n"/>
      <c r="D767" s="34" t="n"/>
      <c r="E767" s="34" t="n"/>
      <c r="F767" s="34" t="n"/>
      <c r="G767" s="34" t="n"/>
      <c r="H767" s="49" t="n"/>
      <c r="I767" s="48" t="n"/>
      <c r="J767" s="49" t="n"/>
      <c r="K767" s="49" t="n"/>
      <c r="L767" s="49" t="n"/>
      <c r="M767" s="51" t="n"/>
      <c r="N767" s="48" t="n"/>
    </row>
    <row r="768">
      <c r="A768" s="42" t="n"/>
      <c r="B768" s="34" t="n"/>
      <c r="C768" s="34" t="n"/>
      <c r="D768" s="34" t="n"/>
      <c r="E768" s="34" t="n"/>
      <c r="F768" s="34" t="n"/>
      <c r="G768" s="34" t="n"/>
      <c r="H768" s="49" t="n"/>
      <c r="I768" s="48" t="n"/>
      <c r="J768" s="49" t="n"/>
      <c r="K768" s="49" t="n"/>
      <c r="L768" s="49" t="n"/>
      <c r="M768" s="51" t="n"/>
      <c r="N768" s="48" t="n"/>
    </row>
    <row r="769">
      <c r="A769" s="42" t="n"/>
      <c r="B769" s="34" t="n"/>
      <c r="C769" s="34" t="n"/>
      <c r="D769" s="34" t="n"/>
      <c r="E769" s="34" t="n"/>
      <c r="F769" s="34" t="n"/>
      <c r="G769" s="34" t="n"/>
      <c r="H769" s="49" t="n"/>
      <c r="I769" s="48" t="n"/>
      <c r="J769" s="49" t="n"/>
      <c r="K769" s="49" t="n"/>
      <c r="L769" s="49" t="n"/>
      <c r="M769" s="51" t="n"/>
      <c r="N769" s="48" t="n"/>
    </row>
    <row r="770">
      <c r="A770" s="42" t="n"/>
      <c r="B770" s="34" t="n"/>
      <c r="C770" s="34" t="n"/>
      <c r="D770" s="34" t="n"/>
      <c r="E770" s="34" t="n"/>
      <c r="F770" s="34" t="n"/>
      <c r="G770" s="34" t="n"/>
      <c r="H770" s="49" t="n"/>
      <c r="I770" s="48" t="n"/>
      <c r="J770" s="49" t="n"/>
      <c r="K770" s="49" t="n"/>
      <c r="L770" s="49" t="n"/>
      <c r="M770" s="51" t="n"/>
      <c r="N770" s="48" t="n"/>
    </row>
    <row r="771">
      <c r="A771" s="42" t="n"/>
      <c r="B771" s="34" t="n"/>
      <c r="C771" s="34" t="n"/>
      <c r="D771" s="34" t="n"/>
      <c r="E771" s="34" t="n"/>
      <c r="F771" s="34" t="n"/>
      <c r="G771" s="34" t="n"/>
      <c r="H771" s="49" t="n"/>
      <c r="I771" s="48" t="n"/>
      <c r="J771" s="49" t="n"/>
      <c r="K771" s="49" t="n"/>
      <c r="L771" s="49" t="n"/>
      <c r="M771" s="51" t="n"/>
      <c r="N771" s="48" t="n"/>
    </row>
    <row r="772">
      <c r="A772" s="42" t="n"/>
      <c r="B772" s="34" t="n"/>
      <c r="C772" s="34" t="n"/>
      <c r="D772" s="34" t="n"/>
      <c r="E772" s="34" t="n"/>
      <c r="F772" s="34" t="n"/>
      <c r="G772" s="34" t="n"/>
      <c r="H772" s="49" t="n"/>
      <c r="I772" s="48" t="n"/>
      <c r="J772" s="49" t="n"/>
      <c r="K772" s="49" t="n"/>
      <c r="L772" s="49" t="n"/>
      <c r="M772" s="51" t="n"/>
      <c r="N772" s="48" t="n"/>
    </row>
    <row r="773">
      <c r="A773" s="42" t="n"/>
      <c r="B773" s="34" t="n"/>
      <c r="C773" s="34" t="n"/>
      <c r="D773" s="34" t="n"/>
      <c r="E773" s="34" t="n"/>
      <c r="F773" s="34" t="n"/>
      <c r="G773" s="34" t="n"/>
      <c r="H773" s="49" t="n"/>
      <c r="I773" s="48" t="n"/>
      <c r="J773" s="49" t="n"/>
      <c r="K773" s="49" t="n"/>
      <c r="L773" s="49" t="n"/>
      <c r="M773" s="51" t="n"/>
      <c r="N773" s="48" t="n"/>
    </row>
    <row r="774">
      <c r="A774" s="42" t="n"/>
      <c r="B774" s="34" t="n"/>
      <c r="C774" s="34" t="n"/>
      <c r="D774" s="34" t="n"/>
      <c r="E774" s="34" t="n"/>
      <c r="F774" s="34" t="n"/>
      <c r="G774" s="34" t="n"/>
      <c r="H774" s="49" t="n"/>
      <c r="I774" s="48" t="n"/>
      <c r="J774" s="49" t="n"/>
      <c r="K774" s="49" t="n"/>
      <c r="L774" s="49" t="n"/>
      <c r="M774" s="51" t="n"/>
      <c r="N774" s="48" t="n"/>
    </row>
    <row r="775">
      <c r="A775" s="42" t="n"/>
      <c r="B775" s="34" t="n"/>
      <c r="C775" s="34" t="n"/>
      <c r="D775" s="34" t="n"/>
      <c r="E775" s="34" t="n"/>
      <c r="F775" s="34" t="n"/>
      <c r="G775" s="34" t="n"/>
      <c r="H775" s="49" t="n"/>
      <c r="I775" s="48" t="n"/>
      <c r="J775" s="49" t="n"/>
      <c r="K775" s="49" t="n"/>
      <c r="L775" s="49" t="n"/>
      <c r="M775" s="51" t="n"/>
      <c r="N775" s="48" t="n"/>
    </row>
    <row r="776">
      <c r="A776" s="42" t="n"/>
      <c r="B776" s="34" t="n"/>
      <c r="C776" s="34" t="n"/>
      <c r="D776" s="34" t="n"/>
      <c r="E776" s="34" t="n"/>
      <c r="F776" s="34" t="n"/>
      <c r="G776" s="34" t="n"/>
      <c r="H776" s="49" t="n"/>
      <c r="I776" s="48" t="n"/>
      <c r="J776" s="49" t="n"/>
      <c r="K776" s="49" t="n"/>
      <c r="L776" s="49" t="n"/>
      <c r="M776" s="51" t="n"/>
      <c r="N776" s="48" t="n"/>
    </row>
    <row r="777">
      <c r="A777" s="42" t="n"/>
      <c r="B777" s="34" t="n"/>
      <c r="C777" s="34" t="n"/>
      <c r="D777" s="34" t="n"/>
      <c r="E777" s="34" t="n"/>
      <c r="F777" s="34" t="n"/>
      <c r="G777" s="34" t="n"/>
      <c r="H777" s="49" t="n"/>
      <c r="I777" s="48" t="n"/>
      <c r="J777" s="49" t="n"/>
      <c r="K777" s="49" t="n"/>
      <c r="L777" s="49" t="n"/>
      <c r="M777" s="51" t="n"/>
      <c r="N777" s="48" t="n"/>
    </row>
    <row r="778">
      <c r="A778" s="42" t="n"/>
      <c r="B778" s="34" t="n"/>
      <c r="C778" s="34" t="n"/>
      <c r="D778" s="34" t="n"/>
      <c r="E778" s="34" t="n"/>
      <c r="F778" s="34" t="n"/>
      <c r="G778" s="34" t="n"/>
      <c r="H778" s="49" t="n"/>
      <c r="I778" s="48" t="n"/>
      <c r="J778" s="49" t="n"/>
      <c r="K778" s="49" t="n"/>
      <c r="L778" s="49" t="n"/>
      <c r="M778" s="51" t="n"/>
      <c r="N778" s="48" t="n"/>
    </row>
    <row r="779">
      <c r="A779" s="42" t="n"/>
      <c r="B779" s="34" t="n"/>
      <c r="C779" s="34" t="n"/>
      <c r="D779" s="34" t="n"/>
      <c r="E779" s="34" t="n"/>
      <c r="F779" s="34" t="n"/>
      <c r="G779" s="34" t="n"/>
      <c r="H779" s="49" t="n"/>
      <c r="I779" s="48" t="n"/>
      <c r="J779" s="49" t="n"/>
      <c r="K779" s="49" t="n"/>
      <c r="L779" s="49" t="n"/>
      <c r="M779" s="51" t="n"/>
      <c r="N779" s="48" t="n"/>
    </row>
    <row r="780">
      <c r="A780" s="42" t="n"/>
      <c r="B780" s="34" t="n"/>
      <c r="C780" s="34" t="n"/>
      <c r="D780" s="34" t="n"/>
      <c r="E780" s="34" t="n"/>
      <c r="F780" s="34" t="n"/>
      <c r="G780" s="34" t="n"/>
      <c r="H780" s="49" t="n"/>
      <c r="I780" s="48" t="n"/>
      <c r="J780" s="49" t="n"/>
      <c r="K780" s="49" t="n"/>
      <c r="L780" s="49" t="n"/>
      <c r="M780" s="51" t="n"/>
      <c r="N780" s="48" t="n"/>
    </row>
    <row r="781">
      <c r="A781" s="42" t="n"/>
      <c r="B781" s="34" t="n"/>
      <c r="C781" s="34" t="n"/>
      <c r="D781" s="34" t="n"/>
      <c r="E781" s="34" t="n"/>
      <c r="F781" s="34" t="n"/>
      <c r="G781" s="34" t="n"/>
      <c r="H781" s="49" t="n"/>
      <c r="I781" s="48" t="n"/>
      <c r="J781" s="49" t="n"/>
      <c r="K781" s="49" t="n"/>
      <c r="L781" s="49" t="n"/>
      <c r="M781" s="51" t="n"/>
      <c r="N781" s="48" t="n"/>
    </row>
    <row r="782">
      <c r="A782" s="42" t="n"/>
      <c r="B782" s="34" t="n"/>
      <c r="C782" s="34" t="n"/>
      <c r="D782" s="34" t="n"/>
      <c r="E782" s="34" t="n"/>
      <c r="F782" s="34" t="n"/>
      <c r="G782" s="34" t="n"/>
      <c r="H782" s="49" t="n"/>
      <c r="I782" s="48" t="n"/>
      <c r="J782" s="49" t="n"/>
      <c r="K782" s="49" t="n"/>
      <c r="L782" s="49" t="n"/>
      <c r="M782" s="51" t="n"/>
      <c r="N782" s="48" t="n"/>
    </row>
    <row r="783">
      <c r="A783" s="42" t="n"/>
      <c r="B783" s="34" t="n"/>
      <c r="C783" s="34" t="n"/>
      <c r="D783" s="34" t="n"/>
      <c r="E783" s="34" t="n"/>
      <c r="F783" s="34" t="n"/>
      <c r="G783" s="34" t="n"/>
      <c r="H783" s="49" t="n"/>
      <c r="I783" s="48" t="n"/>
      <c r="J783" s="49" t="n"/>
      <c r="K783" s="49" t="n"/>
      <c r="L783" s="49" t="n"/>
      <c r="M783" s="51" t="n"/>
      <c r="N783" s="48" t="n"/>
    </row>
    <row r="784">
      <c r="A784" s="42" t="n"/>
      <c r="B784" s="34" t="n"/>
      <c r="C784" s="34" t="n"/>
      <c r="D784" s="34" t="n"/>
      <c r="E784" s="34" t="n"/>
      <c r="F784" s="34" t="n"/>
      <c r="G784" s="34" t="n"/>
      <c r="H784" s="49" t="n"/>
      <c r="I784" s="48" t="n"/>
      <c r="J784" s="49" t="n"/>
      <c r="K784" s="49" t="n"/>
      <c r="L784" s="49" t="n"/>
      <c r="M784" s="51" t="n"/>
      <c r="N784" s="48" t="n"/>
    </row>
    <row r="785">
      <c r="A785" s="42" t="n"/>
      <c r="B785" s="34" t="n"/>
      <c r="C785" s="34" t="n"/>
      <c r="D785" s="34" t="n"/>
      <c r="E785" s="34" t="n"/>
      <c r="F785" s="34" t="n"/>
      <c r="G785" s="34" t="n"/>
      <c r="H785" s="49" t="n"/>
      <c r="I785" s="48" t="n"/>
      <c r="J785" s="49" t="n"/>
      <c r="K785" s="49" t="n"/>
      <c r="L785" s="49" t="n"/>
      <c r="M785" s="51" t="n"/>
      <c r="N785" s="48" t="n"/>
    </row>
    <row r="786">
      <c r="A786" s="42" t="n"/>
      <c r="B786" s="34" t="n"/>
      <c r="C786" s="34" t="n"/>
      <c r="D786" s="34" t="n"/>
      <c r="E786" s="34" t="n"/>
      <c r="F786" s="34" t="n"/>
      <c r="G786" s="34" t="n"/>
      <c r="H786" s="49" t="n"/>
      <c r="I786" s="48" t="n"/>
      <c r="J786" s="49" t="n"/>
      <c r="K786" s="49" t="n"/>
      <c r="L786" s="49" t="n"/>
      <c r="M786" s="51" t="n"/>
      <c r="N786" s="48" t="n"/>
    </row>
    <row r="787">
      <c r="A787" s="42" t="n"/>
      <c r="B787" s="34" t="n"/>
      <c r="C787" s="34" t="n"/>
      <c r="D787" s="34" t="n"/>
      <c r="E787" s="34" t="n"/>
      <c r="F787" s="34" t="n"/>
      <c r="G787" s="34" t="n"/>
      <c r="H787" s="49" t="n"/>
      <c r="I787" s="48" t="n"/>
      <c r="J787" s="49" t="n"/>
      <c r="K787" s="49" t="n"/>
      <c r="L787" s="49" t="n"/>
      <c r="M787" s="51" t="n"/>
      <c r="N787" s="48" t="n"/>
    </row>
    <row r="788">
      <c r="A788" s="42" t="n"/>
      <c r="B788" s="34" t="n"/>
      <c r="C788" s="34" t="n"/>
      <c r="D788" s="34" t="n"/>
      <c r="E788" s="34" t="n"/>
      <c r="F788" s="34" t="n"/>
      <c r="G788" s="34" t="n"/>
      <c r="H788" s="49" t="n"/>
      <c r="I788" s="48" t="n"/>
      <c r="J788" s="49" t="n"/>
      <c r="K788" s="49" t="n"/>
      <c r="L788" s="49" t="n"/>
      <c r="M788" s="51" t="n"/>
      <c r="N788" s="48" t="n"/>
    </row>
    <row r="789">
      <c r="A789" s="42" t="n"/>
      <c r="B789" s="34" t="n"/>
      <c r="C789" s="34" t="n"/>
      <c r="D789" s="34" t="n"/>
      <c r="E789" s="34" t="n"/>
      <c r="F789" s="34" t="n"/>
      <c r="G789" s="34" t="n"/>
      <c r="H789" s="49" t="n"/>
      <c r="I789" s="48" t="n"/>
      <c r="J789" s="49" t="n"/>
      <c r="K789" s="49" t="n"/>
      <c r="L789" s="49" t="n"/>
      <c r="M789" s="51" t="n"/>
      <c r="N789" s="48" t="n"/>
    </row>
    <row r="790">
      <c r="A790" s="42" t="n"/>
      <c r="B790" s="34" t="n"/>
      <c r="C790" s="34" t="n"/>
      <c r="D790" s="34" t="n"/>
      <c r="E790" s="34" t="n"/>
      <c r="F790" s="34" t="n"/>
      <c r="G790" s="34" t="n"/>
      <c r="H790" s="49" t="n"/>
      <c r="I790" s="48" t="n"/>
      <c r="J790" s="49" t="n"/>
      <c r="K790" s="49" t="n"/>
      <c r="L790" s="49" t="n"/>
      <c r="M790" s="51" t="n"/>
      <c r="N790" s="48" t="n"/>
    </row>
    <row r="791">
      <c r="A791" s="42" t="n"/>
      <c r="B791" s="34" t="n"/>
      <c r="C791" s="34" t="n"/>
      <c r="D791" s="34" t="n"/>
      <c r="E791" s="34" t="n"/>
      <c r="F791" s="34" t="n"/>
      <c r="G791" s="34" t="n"/>
      <c r="H791" s="49" t="n"/>
      <c r="I791" s="48" t="n"/>
      <c r="J791" s="49" t="n"/>
      <c r="K791" s="49" t="n"/>
      <c r="L791" s="49" t="n"/>
      <c r="M791" s="51" t="n"/>
      <c r="N791" s="48" t="n"/>
    </row>
    <row r="792">
      <c r="A792" s="42" t="n"/>
      <c r="B792" s="34" t="n"/>
      <c r="C792" s="34" t="n"/>
      <c r="D792" s="34" t="n"/>
      <c r="E792" s="34" t="n"/>
      <c r="F792" s="34" t="n"/>
      <c r="G792" s="34" t="n"/>
      <c r="H792" s="49" t="n"/>
      <c r="I792" s="48" t="n"/>
      <c r="J792" s="49" t="n"/>
      <c r="K792" s="49" t="n"/>
      <c r="L792" s="49" t="n"/>
      <c r="M792" s="51" t="n"/>
      <c r="N792" s="48" t="n"/>
    </row>
    <row r="793">
      <c r="A793" s="42" t="n"/>
      <c r="B793" s="34" t="n"/>
      <c r="C793" s="34" t="n"/>
      <c r="D793" s="34" t="n"/>
      <c r="E793" s="34" t="n"/>
      <c r="F793" s="34" t="n"/>
      <c r="G793" s="34" t="n"/>
      <c r="H793" s="49" t="n"/>
      <c r="I793" s="48" t="n"/>
      <c r="J793" s="49" t="n"/>
      <c r="K793" s="49" t="n"/>
      <c r="L793" s="49" t="n"/>
      <c r="M793" s="51" t="n"/>
      <c r="N793" s="48" t="n"/>
    </row>
    <row r="794">
      <c r="A794" s="42" t="n"/>
      <c r="B794" s="34" t="n"/>
      <c r="C794" s="34" t="n"/>
      <c r="D794" s="34" t="n"/>
      <c r="E794" s="34" t="n"/>
      <c r="F794" s="34" t="n"/>
      <c r="G794" s="34" t="n"/>
      <c r="H794" s="49" t="n"/>
      <c r="I794" s="48" t="n"/>
      <c r="J794" s="49" t="n"/>
      <c r="K794" s="49" t="n"/>
      <c r="L794" s="49" t="n"/>
      <c r="M794" s="51" t="n"/>
      <c r="N794" s="48" t="n"/>
    </row>
    <row r="795">
      <c r="A795" s="42" t="n"/>
      <c r="B795" s="34" t="n"/>
      <c r="C795" s="34" t="n"/>
      <c r="D795" s="34" t="n"/>
      <c r="E795" s="34" t="n"/>
      <c r="F795" s="34" t="n"/>
      <c r="G795" s="34" t="n"/>
      <c r="H795" s="49" t="n"/>
      <c r="I795" s="48" t="n"/>
      <c r="J795" s="49" t="n"/>
      <c r="K795" s="49" t="n"/>
      <c r="L795" s="49" t="n"/>
      <c r="M795" s="51" t="n"/>
      <c r="N795" s="48" t="n"/>
    </row>
    <row r="796">
      <c r="A796" s="42" t="n"/>
      <c r="B796" s="34" t="n"/>
      <c r="C796" s="34" t="n"/>
      <c r="D796" s="34" t="n"/>
      <c r="E796" s="34" t="n"/>
      <c r="F796" s="34" t="n"/>
      <c r="G796" s="34" t="n"/>
      <c r="H796" s="49" t="n"/>
      <c r="I796" s="48" t="n"/>
      <c r="J796" s="49" t="n"/>
      <c r="K796" s="49" t="n"/>
      <c r="L796" s="49" t="n"/>
      <c r="M796" s="51" t="n"/>
      <c r="N796" s="48" t="n"/>
    </row>
    <row r="797">
      <c r="A797" s="42" t="n"/>
      <c r="B797" s="34" t="n"/>
      <c r="C797" s="34" t="n"/>
      <c r="D797" s="34" t="n"/>
      <c r="E797" s="34" t="n"/>
      <c r="F797" s="34" t="n"/>
      <c r="G797" s="34" t="n"/>
      <c r="H797" s="49" t="n"/>
      <c r="I797" s="48" t="n"/>
      <c r="J797" s="49" t="n"/>
      <c r="K797" s="49" t="n"/>
      <c r="L797" s="49" t="n"/>
      <c r="M797" s="51" t="n"/>
      <c r="N797" s="48" t="n"/>
    </row>
    <row r="798">
      <c r="A798" s="42" t="n"/>
      <c r="B798" s="34" t="n"/>
      <c r="C798" s="34" t="n"/>
      <c r="D798" s="34" t="n"/>
      <c r="E798" s="34" t="n"/>
      <c r="F798" s="34" t="n"/>
      <c r="G798" s="34" t="n"/>
      <c r="H798" s="49" t="n"/>
      <c r="I798" s="48" t="n"/>
      <c r="J798" s="49" t="n"/>
      <c r="K798" s="49" t="n"/>
      <c r="L798" s="49" t="n"/>
      <c r="M798" s="51" t="n"/>
      <c r="N798" s="48" t="n"/>
    </row>
    <row r="799">
      <c r="A799" s="42" t="n"/>
      <c r="B799" s="34" t="n"/>
      <c r="C799" s="34" t="n"/>
      <c r="D799" s="34" t="n"/>
      <c r="E799" s="34" t="n"/>
      <c r="F799" s="34" t="n"/>
      <c r="G799" s="34" t="n"/>
      <c r="H799" s="49" t="n"/>
      <c r="I799" s="48" t="n"/>
      <c r="J799" s="49" t="n"/>
      <c r="K799" s="49" t="n"/>
      <c r="L799" s="49" t="n"/>
      <c r="M799" s="51" t="n"/>
      <c r="N799" s="48" t="n"/>
    </row>
    <row r="800">
      <c r="A800" s="42" t="n"/>
      <c r="B800" s="34" t="n"/>
      <c r="C800" s="34" t="n"/>
      <c r="D800" s="34" t="n"/>
      <c r="E800" s="34" t="n"/>
      <c r="F800" s="34" t="n"/>
      <c r="G800" s="34" t="n"/>
      <c r="H800" s="49" t="n"/>
      <c r="I800" s="48" t="n"/>
      <c r="J800" s="49" t="n"/>
      <c r="K800" s="49" t="n"/>
      <c r="L800" s="49" t="n"/>
      <c r="M800" s="51" t="n"/>
      <c r="N800" s="48" t="n"/>
    </row>
    <row r="801">
      <c r="A801" s="42" t="n"/>
      <c r="B801" s="34" t="n"/>
      <c r="C801" s="34" t="n"/>
      <c r="D801" s="34" t="n"/>
      <c r="E801" s="34" t="n"/>
      <c r="F801" s="34" t="n"/>
      <c r="G801" s="34" t="n"/>
      <c r="H801" s="49" t="n"/>
      <c r="I801" s="48" t="n"/>
      <c r="J801" s="49" t="n"/>
      <c r="K801" s="49" t="n"/>
      <c r="L801" s="49" t="n"/>
      <c r="M801" s="51" t="n"/>
      <c r="N801" s="48" t="n"/>
    </row>
    <row r="802">
      <c r="A802" s="42" t="n"/>
      <c r="B802" s="34" t="n"/>
      <c r="C802" s="34" t="n"/>
      <c r="D802" s="34" t="n"/>
      <c r="E802" s="34" t="n"/>
      <c r="F802" s="34" t="n"/>
      <c r="G802" s="34" t="n"/>
      <c r="H802" s="49" t="n"/>
      <c r="I802" s="48" t="n"/>
      <c r="J802" s="49" t="n"/>
      <c r="K802" s="49" t="n"/>
      <c r="L802" s="49" t="n"/>
      <c r="M802" s="51" t="n"/>
      <c r="N802" s="48" t="n"/>
    </row>
    <row r="803">
      <c r="A803" s="42" t="n"/>
      <c r="B803" s="34" t="n"/>
      <c r="C803" s="34" t="n"/>
      <c r="D803" s="34" t="n"/>
      <c r="E803" s="34" t="n"/>
      <c r="F803" s="34" t="n"/>
      <c r="G803" s="34" t="n"/>
      <c r="H803" s="49" t="n"/>
      <c r="I803" s="48" t="n"/>
      <c r="J803" s="49" t="n"/>
      <c r="K803" s="49" t="n"/>
      <c r="L803" s="49" t="n"/>
      <c r="M803" s="51" t="n"/>
      <c r="N803" s="48" t="n"/>
    </row>
    <row r="804">
      <c r="A804" s="42" t="n"/>
      <c r="B804" s="34" t="n"/>
      <c r="C804" s="34" t="n"/>
      <c r="D804" s="34" t="n"/>
      <c r="E804" s="34" t="n"/>
      <c r="F804" s="34" t="n"/>
      <c r="G804" s="34" t="n"/>
      <c r="H804" s="49" t="n"/>
      <c r="I804" s="48" t="n"/>
      <c r="J804" s="49" t="n"/>
      <c r="K804" s="49" t="n"/>
      <c r="L804" s="49" t="n"/>
      <c r="M804" s="51" t="n"/>
      <c r="N804" s="48" t="n"/>
    </row>
    <row r="805">
      <c r="A805" s="42" t="n"/>
      <c r="B805" s="34" t="n"/>
      <c r="C805" s="34" t="n"/>
      <c r="D805" s="34" t="n"/>
      <c r="E805" s="34" t="n"/>
      <c r="F805" s="34" t="n"/>
      <c r="G805" s="34" t="n"/>
      <c r="H805" s="49" t="n"/>
      <c r="I805" s="48" t="n"/>
      <c r="J805" s="49" t="n"/>
      <c r="K805" s="49" t="n"/>
      <c r="L805" s="49" t="n"/>
      <c r="M805" s="51" t="n"/>
      <c r="N805" s="48" t="n"/>
    </row>
    <row r="806">
      <c r="A806" s="42" t="n"/>
      <c r="B806" s="34" t="n"/>
      <c r="C806" s="34" t="n"/>
      <c r="D806" s="34" t="n"/>
      <c r="E806" s="34" t="n"/>
      <c r="F806" s="34" t="n"/>
      <c r="G806" s="34" t="n"/>
      <c r="H806" s="49" t="n"/>
      <c r="I806" s="48" t="n"/>
      <c r="J806" s="49" t="n"/>
      <c r="K806" s="49" t="n"/>
      <c r="L806" s="49" t="n"/>
      <c r="M806" s="51" t="n"/>
      <c r="N806" s="48" t="n"/>
    </row>
    <row r="807">
      <c r="A807" s="42" t="n"/>
      <c r="B807" s="34" t="n"/>
      <c r="C807" s="34" t="n"/>
      <c r="D807" s="34" t="n"/>
      <c r="E807" s="34" t="n"/>
      <c r="F807" s="34" t="n"/>
      <c r="G807" s="34" t="n"/>
      <c r="H807" s="49" t="n"/>
      <c r="I807" s="48" t="n"/>
      <c r="J807" s="49" t="n"/>
      <c r="K807" s="49" t="n"/>
      <c r="L807" s="49" t="n"/>
      <c r="M807" s="51" t="n"/>
      <c r="N807" s="48" t="n"/>
    </row>
    <row r="808">
      <c r="A808" s="42" t="n"/>
      <c r="B808" s="34" t="n"/>
      <c r="C808" s="34" t="n"/>
      <c r="D808" s="34" t="n"/>
      <c r="E808" s="34" t="n"/>
      <c r="F808" s="34" t="n"/>
      <c r="G808" s="34" t="n"/>
      <c r="H808" s="49" t="n"/>
      <c r="I808" s="48" t="n"/>
      <c r="J808" s="49" t="n"/>
      <c r="K808" s="49" t="n"/>
      <c r="L808" s="49" t="n"/>
      <c r="M808" s="51" t="n"/>
      <c r="N808" s="48" t="n"/>
    </row>
    <row r="809">
      <c r="A809" s="42" t="n"/>
      <c r="B809" s="34" t="n"/>
      <c r="C809" s="34" t="n"/>
      <c r="D809" s="34" t="n"/>
      <c r="E809" s="34" t="n"/>
      <c r="F809" s="34" t="n"/>
      <c r="G809" s="34" t="n"/>
      <c r="H809" s="49" t="n"/>
      <c r="I809" s="48" t="n"/>
      <c r="J809" s="49" t="n"/>
      <c r="K809" s="49" t="n"/>
      <c r="L809" s="49" t="n"/>
      <c r="M809" s="51" t="n"/>
      <c r="N809" s="48" t="n"/>
    </row>
    <row r="810">
      <c r="A810" s="42" t="n"/>
      <c r="B810" s="34" t="n"/>
      <c r="C810" s="34" t="n"/>
      <c r="D810" s="34" t="n"/>
      <c r="E810" s="34" t="n"/>
      <c r="F810" s="34" t="n"/>
      <c r="G810" s="34" t="n"/>
      <c r="H810" s="49" t="n"/>
      <c r="I810" s="48" t="n"/>
      <c r="J810" s="49" t="n"/>
      <c r="K810" s="49" t="n"/>
      <c r="L810" s="49" t="n"/>
      <c r="M810" s="51" t="n"/>
      <c r="N810" s="48" t="n"/>
    </row>
    <row r="811">
      <c r="A811" s="42" t="n"/>
      <c r="B811" s="34" t="n"/>
      <c r="C811" s="34" t="n"/>
      <c r="D811" s="34" t="n"/>
      <c r="E811" s="34" t="n"/>
      <c r="F811" s="34" t="n"/>
      <c r="G811" s="34" t="n"/>
      <c r="H811" s="49" t="n"/>
      <c r="I811" s="48" t="n"/>
      <c r="J811" s="49" t="n"/>
      <c r="K811" s="49" t="n"/>
      <c r="L811" s="49" t="n"/>
      <c r="M811" s="51" t="n"/>
      <c r="N811" s="48" t="n"/>
    </row>
    <row r="812">
      <c r="A812" s="42" t="n"/>
      <c r="B812" s="34" t="n"/>
      <c r="C812" s="34" t="n"/>
      <c r="D812" s="34" t="n"/>
      <c r="E812" s="34" t="n"/>
      <c r="F812" s="34" t="n"/>
      <c r="G812" s="34" t="n"/>
      <c r="H812" s="49" t="n"/>
      <c r="I812" s="48" t="n"/>
      <c r="J812" s="49" t="n"/>
      <c r="K812" s="49" t="n"/>
      <c r="L812" s="49" t="n"/>
      <c r="M812" s="51" t="n"/>
      <c r="N812" s="48" t="n"/>
    </row>
    <row r="813">
      <c r="A813" s="42" t="n"/>
      <c r="B813" s="34" t="n"/>
      <c r="C813" s="34" t="n"/>
      <c r="D813" s="34" t="n"/>
      <c r="E813" s="34" t="n"/>
      <c r="F813" s="34" t="n"/>
      <c r="G813" s="34" t="n"/>
      <c r="H813" s="49" t="n"/>
      <c r="I813" s="48" t="n"/>
      <c r="J813" s="49" t="n"/>
      <c r="K813" s="49" t="n"/>
      <c r="L813" s="49" t="n"/>
      <c r="M813" s="51" t="n"/>
      <c r="N813" s="48" t="n"/>
    </row>
    <row r="814">
      <c r="A814" s="42" t="n"/>
      <c r="B814" s="34" t="n"/>
      <c r="C814" s="34" t="n"/>
      <c r="D814" s="34" t="n"/>
      <c r="E814" s="34" t="n"/>
      <c r="F814" s="34" t="n"/>
      <c r="G814" s="34" t="n"/>
      <c r="H814" s="49" t="n"/>
      <c r="I814" s="48" t="n"/>
      <c r="J814" s="49" t="n"/>
      <c r="K814" s="49" t="n"/>
      <c r="L814" s="49" t="n"/>
      <c r="M814" s="51" t="n"/>
      <c r="N814" s="48" t="n"/>
    </row>
    <row r="815">
      <c r="A815" s="42" t="n"/>
      <c r="B815" s="34" t="n"/>
      <c r="C815" s="34" t="n"/>
      <c r="D815" s="34" t="n"/>
      <c r="E815" s="34" t="n"/>
      <c r="F815" s="34" t="n"/>
      <c r="G815" s="34" t="n"/>
      <c r="H815" s="49" t="n"/>
      <c r="I815" s="48" t="n"/>
      <c r="J815" s="49" t="n"/>
      <c r="K815" s="49" t="n"/>
      <c r="L815" s="49" t="n"/>
      <c r="M815" s="51" t="n"/>
      <c r="N815" s="48" t="n"/>
    </row>
    <row r="816">
      <c r="A816" s="42" t="n"/>
      <c r="B816" s="34" t="n"/>
      <c r="C816" s="34" t="n"/>
      <c r="D816" s="34" t="n"/>
      <c r="E816" s="34" t="n"/>
      <c r="F816" s="34" t="n"/>
      <c r="G816" s="34" t="n"/>
      <c r="H816" s="49" t="n"/>
      <c r="I816" s="48" t="n"/>
      <c r="J816" s="49" t="n"/>
      <c r="K816" s="49" t="n"/>
      <c r="L816" s="49" t="n"/>
      <c r="M816" s="51" t="n"/>
      <c r="N816" s="48" t="n"/>
    </row>
    <row r="817">
      <c r="A817" s="42" t="n"/>
      <c r="B817" s="34" t="n"/>
      <c r="C817" s="34" t="n"/>
      <c r="D817" s="34" t="n"/>
      <c r="E817" s="34" t="n"/>
      <c r="F817" s="34" t="n"/>
      <c r="G817" s="34" t="n"/>
      <c r="H817" s="49" t="n"/>
      <c r="I817" s="48" t="n"/>
      <c r="J817" s="49" t="n"/>
      <c r="K817" s="49" t="n"/>
      <c r="L817" s="49" t="n"/>
      <c r="M817" s="51" t="n"/>
      <c r="N817" s="48" t="n"/>
    </row>
    <row r="818">
      <c r="A818" s="42" t="n"/>
      <c r="B818" s="34" t="n"/>
      <c r="C818" s="34" t="n"/>
      <c r="D818" s="34" t="n"/>
      <c r="E818" s="34" t="n"/>
      <c r="F818" s="34" t="n"/>
      <c r="G818" s="34" t="n"/>
      <c r="H818" s="49" t="n"/>
      <c r="I818" s="48" t="n"/>
      <c r="J818" s="49" t="n"/>
      <c r="K818" s="49" t="n"/>
      <c r="L818" s="49" t="n"/>
      <c r="M818" s="51" t="n"/>
      <c r="N818" s="48" t="n"/>
    </row>
    <row r="819">
      <c r="A819" s="42" t="n"/>
      <c r="B819" s="34" t="n"/>
      <c r="C819" s="34" t="n"/>
      <c r="D819" s="34" t="n"/>
      <c r="E819" s="34" t="n"/>
      <c r="F819" s="34" t="n"/>
      <c r="G819" s="34" t="n"/>
      <c r="H819" s="49" t="n"/>
      <c r="I819" s="48" t="n"/>
      <c r="J819" s="49" t="n"/>
      <c r="K819" s="49" t="n"/>
      <c r="L819" s="49" t="n"/>
      <c r="M819" s="51" t="n"/>
      <c r="N819" s="48" t="n"/>
    </row>
    <row r="820">
      <c r="A820" s="42" t="n"/>
      <c r="B820" s="34" t="n"/>
      <c r="C820" s="34" t="n"/>
      <c r="D820" s="34" t="n"/>
      <c r="E820" s="34" t="n"/>
      <c r="F820" s="34" t="n"/>
      <c r="G820" s="34" t="n"/>
      <c r="H820" s="49" t="n"/>
      <c r="I820" s="48" t="n"/>
      <c r="J820" s="49" t="n"/>
      <c r="K820" s="49" t="n"/>
      <c r="L820" s="49" t="n"/>
      <c r="M820" s="51" t="n"/>
      <c r="N820" s="48" t="n"/>
    </row>
    <row r="821">
      <c r="A821" s="42" t="n"/>
      <c r="B821" s="34" t="n"/>
      <c r="C821" s="34" t="n"/>
      <c r="D821" s="34" t="n"/>
      <c r="E821" s="34" t="n"/>
      <c r="F821" s="34" t="n"/>
      <c r="G821" s="34" t="n"/>
      <c r="H821" s="49" t="n"/>
      <c r="I821" s="48" t="n"/>
      <c r="J821" s="49" t="n"/>
      <c r="K821" s="49" t="n"/>
      <c r="L821" s="49" t="n"/>
      <c r="M821" s="51" t="n"/>
      <c r="N821" s="48" t="n"/>
    </row>
    <row r="822">
      <c r="A822" s="42" t="n"/>
      <c r="B822" s="34" t="n"/>
      <c r="C822" s="34" t="n"/>
      <c r="D822" s="34" t="n"/>
      <c r="E822" s="34" t="n"/>
      <c r="F822" s="34" t="n"/>
      <c r="G822" s="34" t="n"/>
      <c r="H822" s="49" t="n"/>
      <c r="I822" s="48" t="n"/>
      <c r="J822" s="49" t="n"/>
      <c r="K822" s="49" t="n"/>
      <c r="L822" s="49" t="n"/>
      <c r="M822" s="51" t="n"/>
      <c r="N822" s="48" t="n"/>
    </row>
    <row r="823">
      <c r="A823" s="42" t="n"/>
      <c r="B823" s="34" t="n"/>
      <c r="C823" s="34" t="n"/>
      <c r="D823" s="34" t="n"/>
      <c r="E823" s="34" t="n"/>
      <c r="F823" s="34" t="n"/>
      <c r="G823" s="34" t="n"/>
      <c r="H823" s="49" t="n"/>
      <c r="I823" s="48" t="n"/>
      <c r="J823" s="49" t="n"/>
      <c r="K823" s="49" t="n"/>
      <c r="L823" s="49" t="n"/>
      <c r="M823" s="51" t="n"/>
      <c r="N823" s="48" t="n"/>
    </row>
    <row r="824">
      <c r="A824" s="42" t="n"/>
      <c r="B824" s="34" t="n"/>
      <c r="C824" s="34" t="n"/>
      <c r="D824" s="34" t="n"/>
      <c r="E824" s="34" t="n"/>
      <c r="F824" s="34" t="n"/>
      <c r="G824" s="34" t="n"/>
      <c r="H824" s="49" t="n"/>
      <c r="I824" s="48" t="n"/>
      <c r="J824" s="49" t="n"/>
      <c r="K824" s="49" t="n"/>
      <c r="L824" s="49" t="n"/>
      <c r="M824" s="51" t="n"/>
      <c r="N824" s="48" t="n"/>
    </row>
    <row r="825">
      <c r="A825" s="42" t="n"/>
      <c r="B825" s="34" t="n"/>
      <c r="C825" s="34" t="n"/>
      <c r="D825" s="34" t="n"/>
      <c r="E825" s="34" t="n"/>
      <c r="F825" s="34" t="n"/>
      <c r="G825" s="34" t="n"/>
      <c r="H825" s="49" t="n"/>
      <c r="I825" s="48" t="n"/>
      <c r="J825" s="49" t="n"/>
      <c r="K825" s="49" t="n"/>
      <c r="L825" s="49" t="n"/>
      <c r="M825" s="51" t="n"/>
      <c r="N825" s="48" t="n"/>
    </row>
    <row r="826">
      <c r="A826" s="42" t="n"/>
      <c r="B826" s="34" t="n"/>
      <c r="C826" s="34" t="n"/>
      <c r="D826" s="34" t="n"/>
      <c r="E826" s="34" t="n"/>
      <c r="F826" s="34" t="n"/>
      <c r="G826" s="34" t="n"/>
      <c r="H826" s="49" t="n"/>
      <c r="I826" s="48" t="n"/>
      <c r="J826" s="49" t="n"/>
      <c r="K826" s="49" t="n"/>
      <c r="L826" s="49" t="n"/>
      <c r="M826" s="51" t="n"/>
      <c r="N826" s="48" t="n"/>
    </row>
    <row r="827">
      <c r="A827" s="42" t="n"/>
      <c r="B827" s="34" t="n"/>
      <c r="C827" s="34" t="n"/>
      <c r="D827" s="34" t="n"/>
      <c r="E827" s="34" t="n"/>
      <c r="F827" s="34" t="n"/>
      <c r="G827" s="34" t="n"/>
      <c r="H827" s="49" t="n"/>
      <c r="I827" s="48" t="n"/>
      <c r="J827" s="49" t="n"/>
      <c r="K827" s="49" t="n"/>
      <c r="L827" s="49" t="n"/>
      <c r="M827" s="51" t="n"/>
      <c r="N827" s="48" t="n"/>
    </row>
    <row r="828">
      <c r="A828" s="42" t="n"/>
      <c r="B828" s="34" t="n"/>
      <c r="C828" s="34" t="n"/>
      <c r="D828" s="34" t="n"/>
      <c r="E828" s="34" t="n"/>
      <c r="F828" s="34" t="n"/>
      <c r="G828" s="34" t="n"/>
      <c r="H828" s="49" t="n"/>
      <c r="I828" s="48" t="n"/>
      <c r="J828" s="49" t="n"/>
      <c r="K828" s="49" t="n"/>
      <c r="L828" s="49" t="n"/>
      <c r="M828" s="51" t="n"/>
      <c r="N828" s="48" t="n"/>
    </row>
    <row r="829">
      <c r="A829" s="42" t="n"/>
      <c r="B829" s="34" t="n"/>
      <c r="C829" s="34" t="n"/>
      <c r="D829" s="34" t="n"/>
      <c r="E829" s="34" t="n"/>
      <c r="F829" s="34" t="n"/>
      <c r="G829" s="34" t="n"/>
      <c r="H829" s="49" t="n"/>
      <c r="I829" s="48" t="n"/>
      <c r="J829" s="49" t="n"/>
      <c r="K829" s="49" t="n"/>
      <c r="L829" s="49" t="n"/>
      <c r="M829" s="51" t="n"/>
      <c r="N829" s="48" t="n"/>
    </row>
    <row r="830">
      <c r="A830" s="42" t="n"/>
      <c r="B830" s="34" t="n"/>
      <c r="C830" s="34" t="n"/>
      <c r="D830" s="34" t="n"/>
      <c r="E830" s="34" t="n"/>
      <c r="F830" s="34" t="n"/>
      <c r="G830" s="34" t="n"/>
      <c r="H830" s="49" t="n"/>
      <c r="I830" s="48" t="n"/>
      <c r="J830" s="49" t="n"/>
      <c r="K830" s="49" t="n"/>
      <c r="L830" s="49" t="n"/>
      <c r="M830" s="51" t="n"/>
      <c r="N830" s="48" t="n"/>
    </row>
    <row r="831">
      <c r="A831" s="42" t="n"/>
      <c r="B831" s="34" t="n"/>
      <c r="C831" s="34" t="n"/>
      <c r="D831" s="34" t="n"/>
      <c r="E831" s="34" t="n"/>
      <c r="F831" s="34" t="n"/>
      <c r="G831" s="34" t="n"/>
      <c r="H831" s="49" t="n"/>
      <c r="I831" s="48" t="n"/>
      <c r="J831" s="49" t="n"/>
      <c r="K831" s="49" t="n"/>
      <c r="L831" s="49" t="n"/>
      <c r="M831" s="51" t="n"/>
      <c r="N831" s="48" t="n"/>
    </row>
    <row r="832">
      <c r="A832" s="42" t="n"/>
      <c r="B832" s="34" t="n"/>
      <c r="C832" s="34" t="n"/>
      <c r="D832" s="34" t="n"/>
      <c r="E832" s="34" t="n"/>
      <c r="F832" s="34" t="n"/>
      <c r="G832" s="34" t="n"/>
      <c r="H832" s="49" t="n"/>
      <c r="I832" s="48" t="n"/>
      <c r="J832" s="49" t="n"/>
      <c r="K832" s="49" t="n"/>
      <c r="L832" s="49" t="n"/>
      <c r="M832" s="51" t="n"/>
      <c r="N832" s="48" t="n"/>
    </row>
    <row r="833">
      <c r="A833" s="42" t="n"/>
      <c r="B833" s="34" t="n"/>
      <c r="C833" s="34" t="n"/>
      <c r="D833" s="34" t="n"/>
      <c r="E833" s="34" t="n"/>
      <c r="F833" s="34" t="n"/>
      <c r="G833" s="34" t="n"/>
      <c r="H833" s="49" t="n"/>
      <c r="I833" s="48" t="n"/>
      <c r="J833" s="49" t="n"/>
      <c r="K833" s="49" t="n"/>
      <c r="L833" s="49" t="n"/>
      <c r="M833" s="51" t="n"/>
      <c r="N833" s="48" t="n"/>
    </row>
    <row r="834">
      <c r="A834" s="42" t="n"/>
      <c r="B834" s="34" t="n"/>
      <c r="C834" s="34" t="n"/>
      <c r="D834" s="34" t="n"/>
      <c r="E834" s="34" t="n"/>
      <c r="F834" s="34" t="n"/>
      <c r="G834" s="34" t="n"/>
      <c r="H834" s="49" t="n"/>
      <c r="I834" s="48" t="n"/>
      <c r="J834" s="49" t="n"/>
      <c r="K834" s="49" t="n"/>
      <c r="L834" s="49" t="n"/>
      <c r="M834" s="51" t="n"/>
      <c r="N834" s="48" t="n"/>
    </row>
    <row r="835">
      <c r="A835" s="42" t="n"/>
      <c r="B835" s="34" t="n"/>
      <c r="C835" s="34" t="n"/>
      <c r="D835" s="34" t="n"/>
      <c r="E835" s="34" t="n"/>
      <c r="F835" s="34" t="n"/>
      <c r="G835" s="34" t="n"/>
      <c r="H835" s="49" t="n"/>
      <c r="I835" s="48" t="n"/>
      <c r="J835" s="49" t="n"/>
      <c r="K835" s="49" t="n"/>
      <c r="L835" s="49" t="n"/>
      <c r="M835" s="51" t="n"/>
      <c r="N835" s="48" t="n"/>
    </row>
    <row r="836">
      <c r="A836" s="42" t="n"/>
      <c r="B836" s="34" t="n"/>
      <c r="C836" s="34" t="n"/>
      <c r="D836" s="34" t="n"/>
      <c r="E836" s="34" t="n"/>
      <c r="F836" s="34" t="n"/>
      <c r="G836" s="34" t="n"/>
      <c r="H836" s="49" t="n"/>
      <c r="I836" s="48" t="n"/>
      <c r="J836" s="49" t="n"/>
      <c r="K836" s="49" t="n"/>
      <c r="L836" s="49" t="n"/>
      <c r="M836" s="51" t="n"/>
      <c r="N836" s="48" t="n"/>
    </row>
    <row r="837">
      <c r="A837" s="42" t="n"/>
      <c r="B837" s="34" t="n"/>
      <c r="C837" s="34" t="n"/>
      <c r="D837" s="34" t="n"/>
      <c r="E837" s="34" t="n"/>
      <c r="F837" s="34" t="n"/>
      <c r="G837" s="34" t="n"/>
      <c r="H837" s="49" t="n"/>
      <c r="I837" s="48" t="n"/>
      <c r="J837" s="49" t="n"/>
      <c r="K837" s="49" t="n"/>
      <c r="L837" s="49" t="n"/>
      <c r="M837" s="51" t="n"/>
      <c r="N837" s="48" t="n"/>
    </row>
    <row r="838">
      <c r="A838" s="42" t="n"/>
      <c r="B838" s="34" t="n"/>
      <c r="C838" s="34" t="n"/>
      <c r="D838" s="34" t="n"/>
      <c r="E838" s="34" t="n"/>
      <c r="F838" s="34" t="n"/>
      <c r="G838" s="34" t="n"/>
      <c r="H838" s="49" t="n"/>
      <c r="I838" s="48" t="n"/>
      <c r="J838" s="49" t="n"/>
      <c r="K838" s="49" t="n"/>
      <c r="L838" s="49" t="n"/>
      <c r="M838" s="51" t="n"/>
      <c r="N838" s="48" t="n"/>
    </row>
    <row r="839">
      <c r="A839" s="42" t="n"/>
      <c r="B839" s="34" t="n"/>
      <c r="C839" s="34" t="n"/>
      <c r="D839" s="34" t="n"/>
      <c r="E839" s="34" t="n"/>
      <c r="F839" s="34" t="n"/>
      <c r="G839" s="34" t="n"/>
      <c r="H839" s="49" t="n"/>
      <c r="I839" s="48" t="n"/>
      <c r="J839" s="49" t="n"/>
      <c r="K839" s="49" t="n"/>
      <c r="L839" s="49" t="n"/>
      <c r="M839" s="51" t="n"/>
      <c r="N839" s="48" t="n"/>
    </row>
    <row r="840">
      <c r="A840" s="42" t="n"/>
      <c r="B840" s="34" t="n"/>
      <c r="C840" s="34" t="n"/>
      <c r="D840" s="34" t="n"/>
      <c r="E840" s="34" t="n"/>
      <c r="F840" s="34" t="n"/>
      <c r="G840" s="34" t="n"/>
      <c r="H840" s="49" t="n"/>
      <c r="I840" s="48" t="n"/>
      <c r="J840" s="49" t="n"/>
      <c r="K840" s="49" t="n"/>
      <c r="L840" s="49" t="n"/>
      <c r="M840" s="51" t="n"/>
      <c r="N840" s="48" t="n"/>
    </row>
    <row r="841">
      <c r="A841" s="42" t="n"/>
      <c r="B841" s="34" t="n"/>
      <c r="C841" s="34" t="n"/>
      <c r="D841" s="34" t="n"/>
      <c r="E841" s="34" t="n"/>
      <c r="F841" s="34" t="n"/>
      <c r="G841" s="34" t="n"/>
      <c r="H841" s="49" t="n"/>
      <c r="I841" s="48" t="n"/>
      <c r="J841" s="49" t="n"/>
      <c r="K841" s="49" t="n"/>
      <c r="L841" s="49" t="n"/>
      <c r="M841" s="51" t="n"/>
      <c r="N841" s="48" t="n"/>
    </row>
    <row r="842">
      <c r="A842" s="42" t="n"/>
      <c r="B842" s="34" t="n"/>
      <c r="C842" s="34" t="n"/>
      <c r="D842" s="34" t="n"/>
      <c r="E842" s="34" t="n"/>
      <c r="F842" s="34" t="n"/>
      <c r="G842" s="34" t="n"/>
      <c r="H842" s="49" t="n"/>
      <c r="I842" s="48" t="n"/>
      <c r="J842" s="49" t="n"/>
      <c r="K842" s="49" t="n"/>
      <c r="L842" s="49" t="n"/>
      <c r="M842" s="51" t="n"/>
      <c r="N842" s="48" t="n"/>
    </row>
    <row r="843">
      <c r="A843" s="42" t="n"/>
      <c r="B843" s="34" t="n"/>
      <c r="C843" s="34" t="n"/>
      <c r="D843" s="34" t="n"/>
      <c r="E843" s="34" t="n"/>
      <c r="F843" s="34" t="n"/>
      <c r="G843" s="34" t="n"/>
      <c r="H843" s="49" t="n"/>
      <c r="I843" s="48" t="n"/>
      <c r="J843" s="49" t="n"/>
      <c r="K843" s="49" t="n"/>
      <c r="L843" s="49" t="n"/>
      <c r="M843" s="51" t="n"/>
      <c r="N843" s="48" t="n"/>
    </row>
    <row r="844">
      <c r="A844" s="42" t="n"/>
      <c r="B844" s="34" t="n"/>
      <c r="C844" s="34" t="n"/>
      <c r="D844" s="34" t="n"/>
      <c r="E844" s="34" t="n"/>
      <c r="F844" s="34" t="n"/>
      <c r="G844" s="34" t="n"/>
      <c r="H844" s="49" t="n"/>
      <c r="I844" s="48" t="n"/>
      <c r="J844" s="49" t="n"/>
      <c r="K844" s="49" t="n"/>
      <c r="L844" s="49" t="n"/>
      <c r="M844" s="51" t="n"/>
      <c r="N844" s="48" t="n"/>
    </row>
    <row r="845">
      <c r="A845" s="42" t="n"/>
      <c r="B845" s="34" t="n"/>
      <c r="C845" s="34" t="n"/>
      <c r="D845" s="34" t="n"/>
      <c r="E845" s="34" t="n"/>
      <c r="F845" s="34" t="n"/>
      <c r="G845" s="34" t="n"/>
      <c r="H845" s="49" t="n"/>
      <c r="I845" s="48" t="n"/>
      <c r="J845" s="49" t="n"/>
      <c r="K845" s="49" t="n"/>
      <c r="L845" s="49" t="n"/>
      <c r="M845" s="51" t="n"/>
      <c r="N845" s="48" t="n"/>
    </row>
    <row r="846">
      <c r="A846" s="42" t="n"/>
      <c r="B846" s="34" t="n"/>
      <c r="C846" s="34" t="n"/>
      <c r="D846" s="34" t="n"/>
      <c r="E846" s="34" t="n"/>
      <c r="F846" s="34" t="n"/>
      <c r="G846" s="34" t="n"/>
      <c r="H846" s="49" t="n"/>
      <c r="I846" s="48" t="n"/>
      <c r="J846" s="49" t="n"/>
      <c r="K846" s="49" t="n"/>
      <c r="L846" s="49" t="n"/>
      <c r="M846" s="51" t="n"/>
      <c r="N846" s="48" t="n"/>
    </row>
    <row r="847">
      <c r="A847" s="42" t="n"/>
      <c r="B847" s="34" t="n"/>
      <c r="C847" s="34" t="n"/>
      <c r="D847" s="34" t="n"/>
      <c r="E847" s="34" t="n"/>
      <c r="F847" s="34" t="n"/>
      <c r="G847" s="34" t="n"/>
      <c r="H847" s="49" t="n"/>
      <c r="I847" s="48" t="n"/>
      <c r="J847" s="49" t="n"/>
      <c r="K847" s="49" t="n"/>
      <c r="L847" s="49" t="n"/>
      <c r="M847" s="51" t="n"/>
      <c r="N847" s="48" t="n"/>
    </row>
    <row r="848">
      <c r="A848" s="42" t="n"/>
      <c r="B848" s="34" t="n"/>
      <c r="C848" s="34" t="n"/>
      <c r="D848" s="34" t="n"/>
      <c r="E848" s="34" t="n"/>
      <c r="F848" s="34" t="n"/>
      <c r="G848" s="34" t="n"/>
      <c r="H848" s="49" t="n"/>
      <c r="I848" s="48" t="n"/>
      <c r="J848" s="49" t="n"/>
      <c r="K848" s="49" t="n"/>
      <c r="L848" s="49" t="n"/>
      <c r="M848" s="51" t="n"/>
      <c r="N848" s="48" t="n"/>
    </row>
    <row r="849">
      <c r="A849" s="42" t="n"/>
      <c r="B849" s="34" t="n"/>
      <c r="C849" s="34" t="n"/>
      <c r="D849" s="34" t="n"/>
      <c r="E849" s="34" t="n"/>
      <c r="F849" s="34" t="n"/>
      <c r="G849" s="34" t="n"/>
      <c r="H849" s="49" t="n"/>
      <c r="I849" s="48" t="n"/>
      <c r="J849" s="49" t="n"/>
      <c r="K849" s="49" t="n"/>
      <c r="L849" s="49" t="n"/>
      <c r="M849" s="51" t="n"/>
      <c r="N849" s="48" t="n"/>
    </row>
    <row r="850">
      <c r="A850" s="42" t="n"/>
      <c r="B850" s="34" t="n"/>
      <c r="C850" s="34" t="n"/>
      <c r="D850" s="34" t="n"/>
      <c r="E850" s="34" t="n"/>
      <c r="F850" s="34" t="n"/>
      <c r="G850" s="34" t="n"/>
      <c r="H850" s="49" t="n"/>
      <c r="I850" s="48" t="n"/>
      <c r="J850" s="49" t="n"/>
      <c r="K850" s="49" t="n"/>
      <c r="L850" s="49" t="n"/>
      <c r="M850" s="51" t="n"/>
      <c r="N850" s="48" t="n"/>
    </row>
    <row r="851">
      <c r="A851" s="42" t="n"/>
      <c r="B851" s="34" t="n"/>
      <c r="C851" s="34" t="n"/>
      <c r="D851" s="34" t="n"/>
      <c r="E851" s="34" t="n"/>
      <c r="F851" s="34" t="n"/>
      <c r="G851" s="34" t="n"/>
      <c r="H851" s="49" t="n"/>
      <c r="I851" s="48" t="n"/>
      <c r="J851" s="49" t="n"/>
      <c r="K851" s="49" t="n"/>
      <c r="L851" s="49" t="n"/>
      <c r="M851" s="51" t="n"/>
      <c r="N851" s="48" t="n"/>
    </row>
    <row r="852">
      <c r="A852" s="42" t="n"/>
      <c r="B852" s="34" t="n"/>
      <c r="C852" s="34" t="n"/>
      <c r="D852" s="34" t="n"/>
      <c r="E852" s="34" t="n"/>
      <c r="F852" s="34" t="n"/>
      <c r="G852" s="34" t="n"/>
      <c r="H852" s="49" t="n"/>
      <c r="I852" s="48" t="n"/>
      <c r="J852" s="49" t="n"/>
      <c r="K852" s="49" t="n"/>
      <c r="L852" s="49" t="n"/>
      <c r="M852" s="51" t="n"/>
      <c r="N852" s="48" t="n"/>
    </row>
    <row r="853">
      <c r="A853" s="42" t="n"/>
      <c r="B853" s="34" t="n"/>
      <c r="C853" s="34" t="n"/>
      <c r="D853" s="34" t="n"/>
      <c r="E853" s="34" t="n"/>
      <c r="F853" s="34" t="n"/>
      <c r="G853" s="34" t="n"/>
      <c r="H853" s="49" t="n"/>
      <c r="I853" s="48" t="n"/>
      <c r="J853" s="49" t="n"/>
      <c r="K853" s="49" t="n"/>
      <c r="L853" s="49" t="n"/>
      <c r="M853" s="51" t="n"/>
      <c r="N853" s="48" t="n"/>
    </row>
    <row r="854">
      <c r="A854" s="42" t="n"/>
      <c r="B854" s="34" t="n"/>
      <c r="C854" s="34" t="n"/>
      <c r="D854" s="34" t="n"/>
      <c r="E854" s="34" t="n"/>
      <c r="F854" s="34" t="n"/>
      <c r="G854" s="34" t="n"/>
      <c r="H854" s="49" t="n"/>
      <c r="I854" s="48" t="n"/>
      <c r="J854" s="49" t="n"/>
      <c r="K854" s="49" t="n"/>
      <c r="L854" s="49" t="n"/>
      <c r="M854" s="51" t="n"/>
      <c r="N854" s="48" t="n"/>
    </row>
    <row r="855">
      <c r="A855" s="42" t="n"/>
      <c r="B855" s="34" t="n"/>
      <c r="C855" s="34" t="n"/>
      <c r="D855" s="34" t="n"/>
      <c r="E855" s="34" t="n"/>
      <c r="F855" s="34" t="n"/>
      <c r="G855" s="34" t="n"/>
      <c r="H855" s="49" t="n"/>
      <c r="I855" s="48" t="n"/>
      <c r="J855" s="49" t="n"/>
      <c r="K855" s="49" t="n"/>
      <c r="L855" s="49" t="n"/>
      <c r="M855" s="51" t="n"/>
      <c r="N855" s="48" t="n"/>
    </row>
    <row r="856">
      <c r="A856" s="42" t="n"/>
      <c r="B856" s="34" t="n"/>
      <c r="C856" s="34" t="n"/>
      <c r="D856" s="34" t="n"/>
      <c r="E856" s="34" t="n"/>
      <c r="F856" s="34" t="n"/>
      <c r="G856" s="34" t="n"/>
      <c r="H856" s="49" t="n"/>
      <c r="I856" s="48" t="n"/>
      <c r="J856" s="49" t="n"/>
      <c r="K856" s="49" t="n"/>
      <c r="L856" s="49" t="n"/>
      <c r="M856" s="51" t="n"/>
      <c r="N856" s="48" t="n"/>
    </row>
    <row r="857">
      <c r="A857" s="42" t="n"/>
      <c r="B857" s="34" t="n"/>
      <c r="C857" s="34" t="n"/>
      <c r="D857" s="34" t="n"/>
      <c r="E857" s="34" t="n"/>
      <c r="F857" s="34" t="n"/>
      <c r="G857" s="34" t="n"/>
      <c r="H857" s="49" t="n"/>
      <c r="I857" s="48" t="n"/>
      <c r="J857" s="49" t="n"/>
      <c r="K857" s="49" t="n"/>
      <c r="L857" s="49" t="n"/>
      <c r="M857" s="51" t="n"/>
      <c r="N857" s="48" t="n"/>
    </row>
    <row r="858">
      <c r="A858" s="42" t="n"/>
      <c r="B858" s="34" t="n"/>
      <c r="C858" s="34" t="n"/>
      <c r="D858" s="34" t="n"/>
      <c r="E858" s="34" t="n"/>
      <c r="F858" s="34" t="n"/>
      <c r="G858" s="34" t="n"/>
      <c r="H858" s="49" t="n"/>
      <c r="I858" s="48" t="n"/>
      <c r="J858" s="49" t="n"/>
      <c r="K858" s="49" t="n"/>
      <c r="L858" s="49" t="n"/>
      <c r="M858" s="51" t="n"/>
      <c r="N858" s="48" t="n"/>
    </row>
    <row r="859">
      <c r="A859" s="42" t="n"/>
      <c r="B859" s="34" t="n"/>
      <c r="C859" s="34" t="n"/>
      <c r="D859" s="34" t="n"/>
      <c r="E859" s="34" t="n"/>
      <c r="F859" s="34" t="n"/>
      <c r="G859" s="34" t="n"/>
      <c r="H859" s="49" t="n"/>
      <c r="I859" s="48" t="n"/>
      <c r="J859" s="49" t="n"/>
      <c r="K859" s="49" t="n"/>
      <c r="L859" s="49" t="n"/>
      <c r="M859" s="51" t="n"/>
      <c r="N859" s="48" t="n"/>
    </row>
    <row r="860">
      <c r="A860" s="42" t="n"/>
      <c r="B860" s="34" t="n"/>
      <c r="C860" s="34" t="n"/>
      <c r="D860" s="34" t="n"/>
      <c r="E860" s="34" t="n"/>
      <c r="F860" s="34" t="n"/>
      <c r="G860" s="34" t="n"/>
      <c r="H860" s="49" t="n"/>
      <c r="I860" s="48" t="n"/>
      <c r="J860" s="49" t="n"/>
      <c r="K860" s="49" t="n"/>
      <c r="L860" s="49" t="n"/>
      <c r="M860" s="51" t="n"/>
      <c r="N860" s="48" t="n"/>
    </row>
    <row r="861">
      <c r="A861" s="42" t="n"/>
      <c r="B861" s="34" t="n"/>
      <c r="C861" s="34" t="n"/>
      <c r="D861" s="34" t="n"/>
      <c r="E861" s="34" t="n"/>
      <c r="F861" s="34" t="n"/>
      <c r="G861" s="34" t="n"/>
      <c r="H861" s="49" t="n"/>
      <c r="I861" s="48" t="n"/>
      <c r="J861" s="49" t="n"/>
      <c r="K861" s="49" t="n"/>
      <c r="L861" s="49" t="n"/>
      <c r="M861" s="51" t="n"/>
      <c r="N861" s="48" t="n"/>
    </row>
    <row r="862">
      <c r="A862" s="42" t="n"/>
      <c r="B862" s="34" t="n"/>
      <c r="C862" s="34" t="n"/>
      <c r="D862" s="34" t="n"/>
      <c r="E862" s="34" t="n"/>
      <c r="F862" s="34" t="n"/>
      <c r="G862" s="34" t="n"/>
      <c r="H862" s="49" t="n"/>
      <c r="I862" s="48" t="n"/>
      <c r="J862" s="49" t="n"/>
      <c r="K862" s="49" t="n"/>
      <c r="L862" s="49" t="n"/>
      <c r="M862" s="51" t="n"/>
      <c r="N862" s="48" t="n"/>
    </row>
    <row r="863">
      <c r="A863" s="42" t="n"/>
      <c r="B863" s="34" t="n"/>
      <c r="C863" s="34" t="n"/>
      <c r="D863" s="34" t="n"/>
      <c r="E863" s="34" t="n"/>
      <c r="F863" s="34" t="n"/>
      <c r="G863" s="34" t="n"/>
      <c r="H863" s="49" t="n"/>
      <c r="I863" s="48" t="n"/>
      <c r="J863" s="49" t="n"/>
      <c r="K863" s="49" t="n"/>
      <c r="L863" s="49" t="n"/>
      <c r="M863" s="51" t="n"/>
      <c r="N863" s="48" t="n"/>
    </row>
    <row r="864">
      <c r="A864" s="42" t="n"/>
      <c r="B864" s="34" t="n"/>
      <c r="C864" s="34" t="n"/>
      <c r="D864" s="34" t="n"/>
      <c r="E864" s="34" t="n"/>
      <c r="F864" s="34" t="n"/>
      <c r="G864" s="34" t="n"/>
      <c r="H864" s="49" t="n"/>
      <c r="I864" s="48" t="n"/>
      <c r="J864" s="49" t="n"/>
      <c r="K864" s="49" t="n"/>
      <c r="L864" s="49" t="n"/>
      <c r="M864" s="51" t="n"/>
      <c r="N864" s="48" t="n"/>
    </row>
    <row r="865">
      <c r="A865" s="42" t="n"/>
      <c r="B865" s="34" t="n"/>
      <c r="C865" s="34" t="n"/>
      <c r="D865" s="34" t="n"/>
      <c r="E865" s="34" t="n"/>
      <c r="F865" s="34" t="n"/>
      <c r="G865" s="34" t="n"/>
      <c r="H865" s="49" t="n"/>
      <c r="I865" s="48" t="n"/>
      <c r="J865" s="49" t="n"/>
      <c r="K865" s="49" t="n"/>
      <c r="L865" s="49" t="n"/>
      <c r="M865" s="51" t="n"/>
      <c r="N865" s="48" t="n"/>
    </row>
    <row r="866">
      <c r="A866" s="42" t="n"/>
      <c r="B866" s="34" t="n"/>
      <c r="C866" s="34" t="n"/>
      <c r="D866" s="34" t="n"/>
      <c r="E866" s="34" t="n"/>
      <c r="F866" s="34" t="n"/>
      <c r="G866" s="34" t="n"/>
      <c r="H866" s="49" t="n"/>
      <c r="I866" s="48" t="n"/>
      <c r="J866" s="49" t="n"/>
      <c r="K866" s="49" t="n"/>
      <c r="L866" s="49" t="n"/>
      <c r="M866" s="51" t="n"/>
      <c r="N866" s="48" t="n"/>
    </row>
    <row r="867">
      <c r="A867" s="42" t="n"/>
      <c r="B867" s="34" t="n"/>
      <c r="C867" s="34" t="n"/>
      <c r="D867" s="34" t="n"/>
      <c r="E867" s="34" t="n"/>
      <c r="F867" s="34" t="n"/>
      <c r="G867" s="34" t="n"/>
      <c r="H867" s="49" t="n"/>
      <c r="I867" s="48" t="n"/>
      <c r="J867" s="49" t="n"/>
      <c r="K867" s="49" t="n"/>
      <c r="L867" s="49" t="n"/>
      <c r="M867" s="51" t="n"/>
      <c r="N867" s="48" t="n"/>
    </row>
    <row r="868">
      <c r="A868" s="42" t="n"/>
      <c r="B868" s="34" t="n"/>
      <c r="C868" s="34" t="n"/>
      <c r="D868" s="34" t="n"/>
      <c r="E868" s="34" t="n"/>
      <c r="F868" s="34" t="n"/>
      <c r="G868" s="34" t="n"/>
      <c r="H868" s="49" t="n"/>
      <c r="I868" s="48" t="n"/>
      <c r="J868" s="49" t="n"/>
      <c r="K868" s="49" t="n"/>
      <c r="L868" s="49" t="n"/>
      <c r="M868" s="51" t="n"/>
      <c r="N868" s="48" t="n"/>
    </row>
    <row r="869">
      <c r="A869" s="42" t="n"/>
      <c r="B869" s="34" t="n"/>
      <c r="C869" s="34" t="n"/>
      <c r="D869" s="34" t="n"/>
      <c r="E869" s="34" t="n"/>
      <c r="F869" s="34" t="n"/>
      <c r="G869" s="34" t="n"/>
      <c r="H869" s="49" t="n"/>
      <c r="I869" s="48" t="n"/>
      <c r="J869" s="49" t="n"/>
      <c r="K869" s="49" t="n"/>
      <c r="L869" s="49" t="n"/>
      <c r="M869" s="51" t="n"/>
      <c r="N869" s="48" t="n"/>
    </row>
    <row r="870">
      <c r="A870" s="42" t="n"/>
      <c r="B870" s="34" t="n"/>
      <c r="C870" s="34" t="n"/>
      <c r="D870" s="34" t="n"/>
      <c r="E870" s="34" t="n"/>
      <c r="F870" s="34" t="n"/>
      <c r="G870" s="34" t="n"/>
      <c r="H870" s="49" t="n"/>
      <c r="I870" s="48" t="n"/>
      <c r="J870" s="49" t="n"/>
      <c r="K870" s="49" t="n"/>
      <c r="L870" s="49" t="n"/>
      <c r="M870" s="51" t="n"/>
      <c r="N870" s="48" t="n"/>
    </row>
    <row r="871">
      <c r="A871" s="42" t="n"/>
      <c r="B871" s="34" t="n"/>
      <c r="C871" s="34" t="n"/>
      <c r="D871" s="34" t="n"/>
      <c r="E871" s="34" t="n"/>
      <c r="F871" s="34" t="n"/>
      <c r="G871" s="34" t="n"/>
      <c r="H871" s="49" t="n"/>
      <c r="I871" s="48" t="n"/>
      <c r="J871" s="49" t="n"/>
      <c r="K871" s="49" t="n"/>
      <c r="L871" s="49" t="n"/>
      <c r="M871" s="51" t="n"/>
      <c r="N871" s="48" t="n"/>
    </row>
    <row r="872">
      <c r="A872" s="42" t="n"/>
      <c r="B872" s="34" t="n"/>
      <c r="C872" s="34" t="n"/>
      <c r="D872" s="34" t="n"/>
      <c r="E872" s="34" t="n"/>
      <c r="F872" s="34" t="n"/>
      <c r="G872" s="34" t="n"/>
      <c r="H872" s="49" t="n"/>
      <c r="I872" s="48" t="n"/>
      <c r="J872" s="49" t="n"/>
      <c r="K872" s="49" t="n"/>
      <c r="L872" s="49" t="n"/>
      <c r="M872" s="51" t="n"/>
      <c r="N872" s="48" t="n"/>
    </row>
    <row r="873">
      <c r="A873" s="42" t="n"/>
      <c r="B873" s="34" t="n"/>
      <c r="C873" s="34" t="n"/>
      <c r="D873" s="34" t="n"/>
      <c r="E873" s="34" t="n"/>
      <c r="F873" s="34" t="n"/>
      <c r="G873" s="34" t="n"/>
      <c r="H873" s="49" t="n"/>
      <c r="I873" s="48" t="n"/>
      <c r="J873" s="49" t="n"/>
      <c r="K873" s="49" t="n"/>
      <c r="L873" s="49" t="n"/>
      <c r="M873" s="51" t="n"/>
      <c r="N873" s="48" t="n"/>
    </row>
    <row r="874">
      <c r="A874" s="42" t="n"/>
      <c r="B874" s="34" t="n"/>
      <c r="C874" s="34" t="n"/>
      <c r="D874" s="34" t="n"/>
      <c r="E874" s="34" t="n"/>
      <c r="F874" s="34" t="n"/>
      <c r="G874" s="34" t="n"/>
      <c r="H874" s="49" t="n"/>
      <c r="I874" s="48" t="n"/>
      <c r="J874" s="49" t="n"/>
      <c r="K874" s="49" t="n"/>
      <c r="L874" s="49" t="n"/>
      <c r="M874" s="51" t="n"/>
      <c r="N874" s="48" t="n"/>
    </row>
    <row r="875">
      <c r="A875" s="42" t="n"/>
      <c r="B875" s="34" t="n"/>
      <c r="C875" s="34" t="n"/>
      <c r="D875" s="34" t="n"/>
      <c r="E875" s="34" t="n"/>
      <c r="F875" s="34" t="n"/>
      <c r="G875" s="34" t="n"/>
      <c r="H875" s="49" t="n"/>
      <c r="I875" s="48" t="n"/>
      <c r="J875" s="49" t="n"/>
      <c r="K875" s="49" t="n"/>
      <c r="L875" s="49" t="n"/>
      <c r="M875" s="51" t="n"/>
      <c r="N875" s="48" t="n"/>
    </row>
    <row r="876">
      <c r="A876" s="42" t="n"/>
      <c r="B876" s="34" t="n"/>
      <c r="C876" s="34" t="n"/>
      <c r="D876" s="34" t="n"/>
      <c r="E876" s="34" t="n"/>
      <c r="F876" s="34" t="n"/>
      <c r="G876" s="34" t="n"/>
      <c r="H876" s="49" t="n"/>
      <c r="I876" s="48" t="n"/>
      <c r="J876" s="49" t="n"/>
      <c r="K876" s="49" t="n"/>
      <c r="L876" s="49" t="n"/>
      <c r="M876" s="51" t="n"/>
      <c r="N876" s="48" t="n"/>
    </row>
    <row r="877">
      <c r="A877" s="42" t="n"/>
      <c r="B877" s="34" t="n"/>
      <c r="C877" s="34" t="n"/>
      <c r="D877" s="34" t="n"/>
      <c r="E877" s="34" t="n"/>
      <c r="F877" s="34" t="n"/>
      <c r="G877" s="34" t="n"/>
      <c r="H877" s="49" t="n"/>
      <c r="I877" s="48" t="n"/>
      <c r="J877" s="49" t="n"/>
      <c r="K877" s="49" t="n"/>
      <c r="L877" s="49" t="n"/>
      <c r="M877" s="51" t="n"/>
      <c r="N877" s="48" t="n"/>
    </row>
    <row r="878">
      <c r="A878" s="42" t="n"/>
      <c r="B878" s="34" t="n"/>
      <c r="C878" s="34" t="n"/>
      <c r="D878" s="34" t="n"/>
      <c r="E878" s="34" t="n"/>
      <c r="F878" s="34" t="n"/>
      <c r="G878" s="34" t="n"/>
      <c r="H878" s="49" t="n"/>
      <c r="I878" s="48" t="n"/>
      <c r="J878" s="49" t="n"/>
      <c r="K878" s="49" t="n"/>
      <c r="L878" s="49" t="n"/>
      <c r="M878" s="51" t="n"/>
      <c r="N878" s="48" t="n"/>
    </row>
    <row r="879">
      <c r="A879" s="42" t="n"/>
      <c r="B879" s="34" t="n"/>
      <c r="C879" s="34" t="n"/>
      <c r="D879" s="34" t="n"/>
      <c r="E879" s="34" t="n"/>
      <c r="F879" s="34" t="n"/>
      <c r="G879" s="34" t="n"/>
      <c r="H879" s="49" t="n"/>
      <c r="I879" s="48" t="n"/>
      <c r="J879" s="49" t="n"/>
      <c r="K879" s="49" t="n"/>
      <c r="L879" s="49" t="n"/>
      <c r="M879" s="51" t="n"/>
      <c r="N879" s="48" t="n"/>
    </row>
    <row r="880">
      <c r="A880" s="42" t="n"/>
      <c r="B880" s="34" t="n"/>
      <c r="C880" s="34" t="n"/>
      <c r="D880" s="34" t="n"/>
      <c r="E880" s="34" t="n"/>
      <c r="F880" s="34" t="n"/>
      <c r="G880" s="34" t="n"/>
      <c r="H880" s="49" t="n"/>
      <c r="I880" s="48" t="n"/>
      <c r="J880" s="49" t="n"/>
      <c r="K880" s="49" t="n"/>
      <c r="L880" s="49" t="n"/>
      <c r="M880" s="51" t="n"/>
      <c r="N880" s="48" t="n"/>
    </row>
    <row r="881">
      <c r="A881" s="42" t="n"/>
      <c r="B881" s="34" t="n"/>
      <c r="C881" s="34" t="n"/>
      <c r="D881" s="34" t="n"/>
      <c r="E881" s="34" t="n"/>
      <c r="F881" s="34" t="n"/>
      <c r="G881" s="34" t="n"/>
      <c r="H881" s="49" t="n"/>
      <c r="I881" s="48" t="n"/>
      <c r="J881" s="49" t="n"/>
      <c r="K881" s="49" t="n"/>
      <c r="L881" s="49" t="n"/>
      <c r="M881" s="51" t="n"/>
      <c r="N881" s="48" t="n"/>
    </row>
    <row r="882">
      <c r="A882" s="42" t="n"/>
      <c r="B882" s="34" t="n"/>
      <c r="C882" s="34" t="n"/>
      <c r="D882" s="34" t="n"/>
      <c r="E882" s="34" t="n"/>
      <c r="F882" s="34" t="n"/>
      <c r="G882" s="34" t="n"/>
      <c r="H882" s="49" t="n"/>
      <c r="I882" s="48" t="n"/>
      <c r="J882" s="49" t="n"/>
      <c r="K882" s="49" t="n"/>
      <c r="L882" s="49" t="n"/>
      <c r="M882" s="51" t="n"/>
      <c r="N882" s="48" t="n"/>
    </row>
    <row r="883">
      <c r="A883" s="42" t="n"/>
      <c r="B883" s="34" t="n"/>
      <c r="C883" s="34" t="n"/>
      <c r="D883" s="34" t="n"/>
      <c r="E883" s="34" t="n"/>
      <c r="F883" s="34" t="n"/>
      <c r="G883" s="34" t="n"/>
      <c r="H883" s="49" t="n"/>
      <c r="I883" s="48" t="n"/>
      <c r="J883" s="49" t="n"/>
      <c r="K883" s="49" t="n"/>
      <c r="L883" s="49" t="n"/>
      <c r="M883" s="51" t="n"/>
      <c r="N883" s="48" t="n"/>
    </row>
    <row r="884">
      <c r="A884" s="42" t="n"/>
      <c r="B884" s="34" t="n"/>
      <c r="C884" s="34" t="n"/>
      <c r="D884" s="34" t="n"/>
      <c r="E884" s="34" t="n"/>
      <c r="F884" s="34" t="n"/>
      <c r="G884" s="34" t="n"/>
      <c r="H884" s="49" t="n"/>
      <c r="I884" s="48" t="n"/>
      <c r="J884" s="49" t="n"/>
      <c r="K884" s="49" t="n"/>
      <c r="L884" s="49" t="n"/>
      <c r="M884" s="51" t="n"/>
      <c r="N884" s="48" t="n"/>
    </row>
    <row r="885">
      <c r="A885" s="42" t="n"/>
      <c r="B885" s="34" t="n"/>
      <c r="C885" s="34" t="n"/>
      <c r="D885" s="34" t="n"/>
      <c r="E885" s="34" t="n"/>
      <c r="F885" s="34" t="n"/>
      <c r="G885" s="34" t="n"/>
      <c r="H885" s="49" t="n"/>
      <c r="I885" s="48" t="n"/>
      <c r="J885" s="49" t="n"/>
      <c r="K885" s="49" t="n"/>
      <c r="L885" s="49" t="n"/>
      <c r="M885" s="51" t="n"/>
      <c r="N885" s="48" t="n"/>
    </row>
    <row r="886">
      <c r="A886" s="42" t="n"/>
      <c r="B886" s="34" t="n"/>
      <c r="C886" s="34" t="n"/>
      <c r="D886" s="34" t="n"/>
      <c r="E886" s="34" t="n"/>
      <c r="F886" s="34" t="n"/>
      <c r="G886" s="34" t="n"/>
      <c r="H886" s="49" t="n"/>
      <c r="I886" s="48" t="n"/>
      <c r="J886" s="49" t="n"/>
      <c r="K886" s="49" t="n"/>
      <c r="L886" s="49" t="n"/>
      <c r="M886" s="51" t="n"/>
      <c r="N886" s="48" t="n"/>
    </row>
    <row r="887">
      <c r="A887" s="42" t="n"/>
      <c r="B887" s="34" t="n"/>
      <c r="C887" s="34" t="n"/>
      <c r="D887" s="34" t="n"/>
      <c r="E887" s="34" t="n"/>
      <c r="F887" s="34" t="n"/>
      <c r="G887" s="34" t="n"/>
      <c r="H887" s="49" t="n"/>
      <c r="I887" s="48" t="n"/>
      <c r="J887" s="49" t="n"/>
      <c r="K887" s="49" t="n"/>
      <c r="L887" s="49" t="n"/>
      <c r="M887" s="51" t="n"/>
      <c r="N887" s="48" t="n"/>
    </row>
    <row r="888">
      <c r="A888" s="42" t="n"/>
      <c r="B888" s="34" t="n"/>
      <c r="C888" s="34" t="n"/>
      <c r="D888" s="34" t="n"/>
      <c r="E888" s="34" t="n"/>
      <c r="F888" s="34" t="n"/>
      <c r="G888" s="34" t="n"/>
      <c r="H888" s="49" t="n"/>
      <c r="I888" s="48" t="n"/>
      <c r="J888" s="49" t="n"/>
      <c r="K888" s="49" t="n"/>
      <c r="L888" s="49" t="n"/>
      <c r="M888" s="51" t="n"/>
      <c r="N888" s="48" t="n"/>
    </row>
    <row r="889">
      <c r="A889" s="42" t="n"/>
      <c r="B889" s="34" t="n"/>
      <c r="C889" s="34" t="n"/>
      <c r="D889" s="34" t="n"/>
      <c r="E889" s="34" t="n"/>
      <c r="F889" s="34" t="n"/>
      <c r="G889" s="34" t="n"/>
      <c r="H889" s="49" t="n"/>
      <c r="I889" s="48" t="n"/>
      <c r="J889" s="49" t="n"/>
      <c r="K889" s="49" t="n"/>
      <c r="L889" s="49" t="n"/>
      <c r="M889" s="51" t="n"/>
      <c r="N889" s="48" t="n"/>
    </row>
    <row r="890">
      <c r="A890" s="42" t="n"/>
      <c r="B890" s="34" t="n"/>
      <c r="C890" s="34" t="n"/>
      <c r="D890" s="34" t="n"/>
      <c r="E890" s="34" t="n"/>
      <c r="F890" s="34" t="n"/>
      <c r="G890" s="34" t="n"/>
      <c r="H890" s="49" t="n"/>
      <c r="I890" s="48" t="n"/>
      <c r="J890" s="49" t="n"/>
      <c r="K890" s="49" t="n"/>
      <c r="L890" s="49" t="n"/>
      <c r="M890" s="51" t="n"/>
      <c r="N890" s="48" t="n"/>
    </row>
    <row r="891">
      <c r="A891" s="42" t="n"/>
      <c r="B891" s="34" t="n"/>
      <c r="C891" s="34" t="n"/>
      <c r="D891" s="34" t="n"/>
      <c r="E891" s="34" t="n"/>
      <c r="F891" s="34" t="n"/>
      <c r="G891" s="34" t="n"/>
      <c r="H891" s="49" t="n"/>
      <c r="I891" s="48" t="n"/>
      <c r="J891" s="49" t="n"/>
      <c r="K891" s="49" t="n"/>
      <c r="L891" s="49" t="n"/>
      <c r="M891" s="51" t="n"/>
      <c r="N891" s="48" t="n"/>
    </row>
    <row r="892">
      <c r="A892" s="42" t="n"/>
      <c r="B892" s="34" t="n"/>
      <c r="C892" s="34" t="n"/>
      <c r="D892" s="34" t="n"/>
      <c r="E892" s="34" t="n"/>
      <c r="F892" s="34" t="n"/>
      <c r="G892" s="34" t="n"/>
      <c r="H892" s="49" t="n"/>
      <c r="I892" s="48" t="n"/>
      <c r="J892" s="49" t="n"/>
      <c r="K892" s="49" t="n"/>
      <c r="L892" s="49" t="n"/>
      <c r="M892" s="51" t="n"/>
      <c r="N892" s="48" t="n"/>
    </row>
    <row r="893">
      <c r="A893" s="42" t="n"/>
      <c r="B893" s="34" t="n"/>
      <c r="C893" s="34" t="n"/>
      <c r="D893" s="34" t="n"/>
      <c r="E893" s="34" t="n"/>
      <c r="F893" s="34" t="n"/>
      <c r="G893" s="34" t="n"/>
      <c r="H893" s="49" t="n"/>
      <c r="I893" s="48" t="n"/>
      <c r="J893" s="49" t="n"/>
      <c r="K893" s="49" t="n"/>
      <c r="L893" s="49" t="n"/>
      <c r="M893" s="51" t="n"/>
      <c r="N893" s="48" t="n"/>
    </row>
    <row r="894">
      <c r="A894" s="42" t="n"/>
      <c r="B894" s="34" t="n"/>
      <c r="C894" s="34" t="n"/>
      <c r="D894" s="34" t="n"/>
      <c r="E894" s="34" t="n"/>
      <c r="F894" s="34" t="n"/>
      <c r="G894" s="34" t="n"/>
      <c r="H894" s="49" t="n"/>
      <c r="I894" s="48" t="n"/>
      <c r="J894" s="49" t="n"/>
      <c r="K894" s="49" t="n"/>
      <c r="L894" s="49" t="n"/>
      <c r="M894" s="51" t="n"/>
      <c r="N894" s="48" t="n"/>
    </row>
    <row r="895">
      <c r="A895" s="42" t="n"/>
      <c r="B895" s="34" t="n"/>
      <c r="C895" s="34" t="n"/>
      <c r="D895" s="34" t="n"/>
      <c r="E895" s="34" t="n"/>
      <c r="F895" s="34" t="n"/>
      <c r="G895" s="34" t="n"/>
      <c r="H895" s="49" t="n"/>
      <c r="I895" s="48" t="n"/>
      <c r="J895" s="49" t="n"/>
      <c r="K895" s="49" t="n"/>
      <c r="L895" s="49" t="n"/>
      <c r="M895" s="51" t="n"/>
      <c r="N895" s="48" t="n"/>
    </row>
    <row r="896">
      <c r="A896" s="42" t="n"/>
      <c r="B896" s="34" t="n"/>
      <c r="C896" s="34" t="n"/>
      <c r="D896" s="34" t="n"/>
      <c r="E896" s="34" t="n"/>
      <c r="F896" s="34" t="n"/>
      <c r="G896" s="34" t="n"/>
      <c r="H896" s="49" t="n"/>
      <c r="I896" s="48" t="n"/>
      <c r="J896" s="49" t="n"/>
      <c r="K896" s="49" t="n"/>
      <c r="L896" s="49" t="n"/>
      <c r="M896" s="51" t="n"/>
      <c r="N896" s="48" t="n"/>
    </row>
    <row r="897">
      <c r="A897" s="42" t="n"/>
      <c r="B897" s="34" t="n"/>
      <c r="C897" s="34" t="n"/>
      <c r="D897" s="34" t="n"/>
      <c r="E897" s="34" t="n"/>
      <c r="F897" s="34" t="n"/>
      <c r="G897" s="34" t="n"/>
      <c r="H897" s="49" t="n"/>
      <c r="I897" s="48" t="n"/>
      <c r="J897" s="49" t="n"/>
      <c r="K897" s="49" t="n"/>
      <c r="L897" s="49" t="n"/>
      <c r="M897" s="51" t="n"/>
      <c r="N897" s="48" t="n"/>
    </row>
    <row r="898">
      <c r="A898" s="42" t="n"/>
      <c r="B898" s="34" t="n"/>
      <c r="C898" s="34" t="n"/>
      <c r="D898" s="34" t="n"/>
      <c r="E898" s="34" t="n"/>
      <c r="F898" s="34" t="n"/>
      <c r="G898" s="34" t="n"/>
      <c r="H898" s="49" t="n"/>
      <c r="I898" s="48" t="n"/>
      <c r="J898" s="49" t="n"/>
      <c r="K898" s="49" t="n"/>
      <c r="L898" s="49" t="n"/>
      <c r="M898" s="51" t="n"/>
      <c r="N898" s="48" t="n"/>
    </row>
    <row r="899">
      <c r="A899" s="42" t="n"/>
      <c r="B899" s="34" t="n"/>
      <c r="C899" s="34" t="n"/>
      <c r="D899" s="34" t="n"/>
      <c r="E899" s="34" t="n"/>
      <c r="F899" s="34" t="n"/>
      <c r="G899" s="34" t="n"/>
      <c r="H899" s="49" t="n"/>
      <c r="I899" s="48" t="n"/>
      <c r="J899" s="49" t="n"/>
      <c r="K899" s="49" t="n"/>
      <c r="L899" s="49" t="n"/>
      <c r="M899" s="51" t="n"/>
      <c r="N899" s="48" t="n"/>
    </row>
    <row r="900">
      <c r="A900" s="42" t="n"/>
      <c r="B900" s="34" t="n"/>
      <c r="C900" s="34" t="n"/>
      <c r="D900" s="34" t="n"/>
      <c r="E900" s="34" t="n"/>
      <c r="F900" s="34" t="n"/>
      <c r="G900" s="34" t="n"/>
      <c r="H900" s="49" t="n"/>
      <c r="I900" s="48" t="n"/>
      <c r="J900" s="49" t="n"/>
      <c r="K900" s="49" t="n"/>
      <c r="L900" s="49" t="n"/>
      <c r="M900" s="51" t="n"/>
      <c r="N900" s="48" t="n"/>
    </row>
    <row r="901">
      <c r="A901" s="42" t="n"/>
      <c r="B901" s="34" t="n"/>
      <c r="C901" s="34" t="n"/>
      <c r="D901" s="34" t="n"/>
      <c r="E901" s="34" t="n"/>
      <c r="F901" s="34" t="n"/>
      <c r="G901" s="34" t="n"/>
      <c r="H901" s="49" t="n"/>
      <c r="I901" s="48" t="n"/>
      <c r="J901" s="49" t="n"/>
      <c r="K901" s="49" t="n"/>
      <c r="L901" s="49" t="n"/>
      <c r="M901" s="51" t="n"/>
      <c r="N901" s="48" t="n"/>
    </row>
    <row r="902">
      <c r="A902" s="42" t="n"/>
      <c r="B902" s="34" t="n"/>
      <c r="C902" s="34" t="n"/>
      <c r="D902" s="34" t="n"/>
      <c r="E902" s="34" t="n"/>
      <c r="F902" s="34" t="n"/>
      <c r="G902" s="34" t="n"/>
      <c r="H902" s="49" t="n"/>
      <c r="I902" s="48" t="n"/>
      <c r="J902" s="49" t="n"/>
      <c r="K902" s="49" t="n"/>
      <c r="L902" s="49" t="n"/>
      <c r="M902" s="51" t="n"/>
      <c r="N902" s="48" t="n"/>
    </row>
    <row r="903">
      <c r="A903" s="42" t="n"/>
      <c r="B903" s="34" t="n"/>
      <c r="C903" s="34" t="n"/>
      <c r="D903" s="34" t="n"/>
      <c r="E903" s="34" t="n"/>
      <c r="F903" s="34" t="n"/>
      <c r="G903" s="34" t="n"/>
      <c r="H903" s="49" t="n"/>
      <c r="I903" s="48" t="n"/>
      <c r="J903" s="49" t="n"/>
      <c r="K903" s="49" t="n"/>
      <c r="L903" s="49" t="n"/>
      <c r="M903" s="51" t="n"/>
      <c r="N903" s="48" t="n"/>
    </row>
    <row r="904">
      <c r="A904" s="42" t="n"/>
      <c r="B904" s="34" t="n"/>
      <c r="C904" s="34" t="n"/>
      <c r="D904" s="34" t="n"/>
      <c r="E904" s="34" t="n"/>
      <c r="F904" s="34" t="n"/>
      <c r="G904" s="34" t="n"/>
      <c r="H904" s="49" t="n"/>
      <c r="I904" s="48" t="n"/>
      <c r="J904" s="49" t="n"/>
      <c r="K904" s="49" t="n"/>
      <c r="L904" s="49" t="n"/>
      <c r="M904" s="51" t="n"/>
      <c r="N904" s="48" t="n"/>
    </row>
    <row r="905">
      <c r="A905" s="42" t="n"/>
      <c r="B905" s="34" t="n"/>
      <c r="C905" s="34" t="n"/>
      <c r="D905" s="34" t="n"/>
      <c r="E905" s="34" t="n"/>
      <c r="F905" s="34" t="n"/>
      <c r="G905" s="34" t="n"/>
      <c r="H905" s="49" t="n"/>
      <c r="I905" s="48" t="n"/>
      <c r="J905" s="49" t="n"/>
      <c r="K905" s="49" t="n"/>
      <c r="L905" s="49" t="n"/>
      <c r="M905" s="51" t="n"/>
      <c r="N905" s="48" t="n"/>
    </row>
    <row r="906">
      <c r="A906" s="42" t="n"/>
      <c r="B906" s="34" t="n"/>
      <c r="C906" s="34" t="n"/>
      <c r="D906" s="34" t="n"/>
      <c r="E906" s="34" t="n"/>
      <c r="F906" s="34" t="n"/>
      <c r="G906" s="34" t="n"/>
      <c r="H906" s="49" t="n"/>
      <c r="I906" s="48" t="n"/>
      <c r="J906" s="49" t="n"/>
      <c r="K906" s="49" t="n"/>
      <c r="L906" s="49" t="n"/>
      <c r="M906" s="51" t="n"/>
      <c r="N906" s="48" t="n"/>
    </row>
    <row r="907">
      <c r="A907" s="42" t="n"/>
      <c r="B907" s="34" t="n"/>
      <c r="C907" s="34" t="n"/>
      <c r="D907" s="34" t="n"/>
      <c r="E907" s="34" t="n"/>
      <c r="F907" s="34" t="n"/>
      <c r="G907" s="34" t="n"/>
      <c r="H907" s="49" t="n"/>
      <c r="I907" s="48" t="n"/>
      <c r="J907" s="49" t="n"/>
      <c r="K907" s="49" t="n"/>
      <c r="L907" s="49" t="n"/>
      <c r="M907" s="51" t="n"/>
      <c r="N907" s="48" t="n"/>
    </row>
    <row r="908">
      <c r="A908" s="42" t="n"/>
      <c r="B908" s="34" t="n"/>
      <c r="C908" s="34" t="n"/>
      <c r="D908" s="34" t="n"/>
      <c r="E908" s="34" t="n"/>
      <c r="F908" s="34" t="n"/>
      <c r="G908" s="34" t="n"/>
      <c r="H908" s="49" t="n"/>
      <c r="I908" s="48" t="n"/>
      <c r="J908" s="49" t="n"/>
      <c r="K908" s="49" t="n"/>
      <c r="L908" s="49" t="n"/>
      <c r="M908" s="51" t="n"/>
      <c r="N908" s="48" t="n"/>
    </row>
    <row r="909">
      <c r="A909" s="42" t="n"/>
      <c r="B909" s="34" t="n"/>
      <c r="C909" s="34" t="n"/>
      <c r="D909" s="34" t="n"/>
      <c r="E909" s="34" t="n"/>
      <c r="F909" s="34" t="n"/>
      <c r="G909" s="34" t="n"/>
      <c r="H909" s="49" t="n"/>
      <c r="I909" s="48" t="n"/>
      <c r="J909" s="49" t="n"/>
      <c r="K909" s="49" t="n"/>
      <c r="L909" s="49" t="n"/>
      <c r="M909" s="51" t="n"/>
      <c r="N909" s="48" t="n"/>
    </row>
    <row r="910">
      <c r="A910" s="42" t="n"/>
      <c r="B910" s="34" t="n"/>
      <c r="C910" s="34" t="n"/>
      <c r="D910" s="34" t="n"/>
      <c r="E910" s="34" t="n"/>
      <c r="F910" s="34" t="n"/>
      <c r="G910" s="34" t="n"/>
      <c r="H910" s="49" t="n"/>
      <c r="I910" s="48" t="n"/>
      <c r="J910" s="49" t="n"/>
      <c r="K910" s="49" t="n"/>
      <c r="L910" s="49" t="n"/>
      <c r="M910" s="51" t="n"/>
      <c r="N910" s="48" t="n"/>
    </row>
    <row r="911">
      <c r="A911" s="42" t="n"/>
      <c r="B911" s="34" t="n"/>
      <c r="C911" s="34" t="n"/>
      <c r="D911" s="34" t="n"/>
      <c r="E911" s="34" t="n"/>
      <c r="F911" s="34" t="n"/>
      <c r="G911" s="34" t="n"/>
      <c r="H911" s="49" t="n"/>
      <c r="I911" s="48" t="n"/>
      <c r="J911" s="49" t="n"/>
      <c r="K911" s="49" t="n"/>
      <c r="L911" s="49" t="n"/>
      <c r="M911" s="51" t="n"/>
      <c r="N911" s="48" t="n"/>
    </row>
    <row r="912">
      <c r="A912" s="42" t="n"/>
      <c r="B912" s="34" t="n"/>
      <c r="C912" s="34" t="n"/>
      <c r="D912" s="34" t="n"/>
      <c r="E912" s="34" t="n"/>
      <c r="F912" s="34" t="n"/>
      <c r="G912" s="34" t="n"/>
      <c r="H912" s="49" t="n"/>
      <c r="I912" s="48" t="n"/>
      <c r="J912" s="49" t="n"/>
      <c r="K912" s="49" t="n"/>
      <c r="L912" s="49" t="n"/>
      <c r="M912" s="51" t="n"/>
      <c r="N912" s="48" t="n"/>
    </row>
    <row r="913">
      <c r="A913" s="42" t="n"/>
      <c r="B913" s="34" t="n"/>
      <c r="C913" s="34" t="n"/>
      <c r="D913" s="34" t="n"/>
      <c r="E913" s="34" t="n"/>
      <c r="F913" s="34" t="n"/>
      <c r="G913" s="34" t="n"/>
      <c r="H913" s="49" t="n"/>
      <c r="I913" s="48" t="n"/>
      <c r="J913" s="49" t="n"/>
      <c r="K913" s="49" t="n"/>
      <c r="L913" s="49" t="n"/>
      <c r="M913" s="51" t="n"/>
      <c r="N913" s="48" t="n"/>
    </row>
    <row r="914">
      <c r="A914" s="42" t="n"/>
      <c r="B914" s="34" t="n"/>
      <c r="C914" s="34" t="n"/>
      <c r="D914" s="34" t="n"/>
      <c r="E914" s="34" t="n"/>
      <c r="F914" s="34" t="n"/>
      <c r="G914" s="34" t="n"/>
      <c r="H914" s="49" t="n"/>
      <c r="I914" s="48" t="n"/>
      <c r="J914" s="49" t="n"/>
      <c r="K914" s="49" t="n"/>
      <c r="L914" s="49" t="n"/>
      <c r="M914" s="51" t="n"/>
      <c r="N914" s="48" t="n"/>
    </row>
    <row r="915">
      <c r="A915" s="42" t="n"/>
      <c r="B915" s="34" t="n"/>
      <c r="C915" s="34" t="n"/>
      <c r="D915" s="34" t="n"/>
      <c r="E915" s="34" t="n"/>
      <c r="F915" s="34" t="n"/>
      <c r="G915" s="34" t="n"/>
      <c r="H915" s="49" t="n"/>
      <c r="I915" s="48" t="n"/>
      <c r="J915" s="49" t="n"/>
      <c r="K915" s="49" t="n"/>
      <c r="L915" s="49" t="n"/>
      <c r="M915" s="51" t="n"/>
      <c r="N915" s="48" t="n"/>
    </row>
    <row r="916">
      <c r="A916" s="42" t="n"/>
      <c r="B916" s="34" t="n"/>
      <c r="C916" s="34" t="n"/>
      <c r="D916" s="34" t="n"/>
      <c r="E916" s="34" t="n"/>
      <c r="F916" s="34" t="n"/>
      <c r="G916" s="34" t="n"/>
      <c r="H916" s="49" t="n"/>
      <c r="I916" s="48" t="n"/>
      <c r="J916" s="49" t="n"/>
      <c r="K916" s="49" t="n"/>
      <c r="L916" s="49" t="n"/>
      <c r="M916" s="51" t="n"/>
      <c r="N916" s="48" t="n"/>
    </row>
    <row r="917">
      <c r="A917" s="42" t="n"/>
      <c r="B917" s="34" t="n"/>
      <c r="C917" s="34" t="n"/>
      <c r="D917" s="34" t="n"/>
      <c r="E917" s="34" t="n"/>
      <c r="F917" s="34" t="n"/>
      <c r="G917" s="34" t="n"/>
      <c r="H917" s="49" t="n"/>
      <c r="I917" s="48" t="n"/>
      <c r="J917" s="49" t="n"/>
      <c r="K917" s="49" t="n"/>
      <c r="L917" s="49" t="n"/>
      <c r="M917" s="51" t="n"/>
      <c r="N917" s="48" t="n"/>
    </row>
    <row r="918">
      <c r="A918" s="42" t="n"/>
      <c r="B918" s="34" t="n"/>
      <c r="C918" s="34" t="n"/>
      <c r="D918" s="34" t="n"/>
      <c r="E918" s="34" t="n"/>
      <c r="F918" s="34" t="n"/>
      <c r="G918" s="34" t="n"/>
      <c r="H918" s="49" t="n"/>
      <c r="I918" s="48" t="n"/>
      <c r="J918" s="49" t="n"/>
      <c r="K918" s="49" t="n"/>
      <c r="L918" s="49" t="n"/>
      <c r="M918" s="51" t="n"/>
      <c r="N918" s="48" t="n"/>
    </row>
    <row r="919">
      <c r="A919" s="42" t="n"/>
      <c r="B919" s="34" t="n"/>
      <c r="C919" s="34" t="n"/>
      <c r="D919" s="34" t="n"/>
      <c r="E919" s="34" t="n"/>
      <c r="F919" s="34" t="n"/>
      <c r="G919" s="34" t="n"/>
      <c r="H919" s="49" t="n"/>
      <c r="I919" s="48" t="n"/>
      <c r="J919" s="49" t="n"/>
      <c r="K919" s="49" t="n"/>
      <c r="L919" s="49" t="n"/>
      <c r="M919" s="51" t="n"/>
      <c r="N919" s="48" t="n"/>
    </row>
    <row r="920">
      <c r="A920" s="42" t="n"/>
      <c r="B920" s="34" t="n"/>
      <c r="C920" s="34" t="n"/>
      <c r="D920" s="34" t="n"/>
      <c r="E920" s="34" t="n"/>
      <c r="F920" s="34" t="n"/>
      <c r="G920" s="34" t="n"/>
      <c r="H920" s="49" t="n"/>
      <c r="I920" s="48" t="n"/>
      <c r="J920" s="49" t="n"/>
      <c r="K920" s="49" t="n"/>
      <c r="L920" s="49" t="n"/>
      <c r="M920" s="51" t="n"/>
      <c r="N920" s="48" t="n"/>
    </row>
    <row r="921">
      <c r="A921" s="42" t="n"/>
      <c r="B921" s="34" t="n"/>
      <c r="C921" s="34" t="n"/>
      <c r="D921" s="34" t="n"/>
      <c r="E921" s="34" t="n"/>
      <c r="F921" s="34" t="n"/>
      <c r="G921" s="34" t="n"/>
      <c r="H921" s="49" t="n"/>
      <c r="I921" s="48" t="n"/>
      <c r="J921" s="49" t="n"/>
      <c r="K921" s="49" t="n"/>
      <c r="L921" s="49" t="n"/>
      <c r="M921" s="51" t="n"/>
      <c r="N921" s="48" t="n"/>
    </row>
    <row r="922">
      <c r="A922" s="42" t="n"/>
      <c r="B922" s="34" t="n"/>
      <c r="C922" s="34" t="n"/>
      <c r="D922" s="34" t="n"/>
      <c r="E922" s="34" t="n"/>
      <c r="F922" s="34" t="n"/>
      <c r="G922" s="34" t="n"/>
      <c r="H922" s="49" t="n"/>
      <c r="I922" s="48" t="n"/>
      <c r="J922" s="49" t="n"/>
      <c r="K922" s="49" t="n"/>
      <c r="L922" s="49" t="n"/>
      <c r="M922" s="51" t="n"/>
      <c r="N922" s="48" t="n"/>
    </row>
    <row r="923">
      <c r="A923" s="42" t="n"/>
      <c r="B923" s="34" t="n"/>
      <c r="C923" s="34" t="n"/>
      <c r="D923" s="34" t="n"/>
      <c r="E923" s="34" t="n"/>
      <c r="F923" s="34" t="n"/>
      <c r="G923" s="34" t="n"/>
      <c r="H923" s="49" t="n"/>
      <c r="I923" s="48" t="n"/>
      <c r="J923" s="49" t="n"/>
      <c r="K923" s="49" t="n"/>
      <c r="L923" s="49" t="n"/>
      <c r="M923" s="51" t="n"/>
      <c r="N923" s="48" t="n"/>
    </row>
    <row r="924">
      <c r="A924" s="42" t="n"/>
      <c r="B924" s="34" t="n"/>
      <c r="C924" s="34" t="n"/>
      <c r="D924" s="34" t="n"/>
      <c r="E924" s="34" t="n"/>
      <c r="F924" s="34" t="n"/>
      <c r="G924" s="34" t="n"/>
      <c r="H924" s="49" t="n"/>
      <c r="I924" s="48" t="n"/>
      <c r="J924" s="49" t="n"/>
      <c r="K924" s="49" t="n"/>
      <c r="L924" s="49" t="n"/>
      <c r="M924" s="51" t="n"/>
      <c r="N924" s="48" t="n"/>
    </row>
    <row r="925">
      <c r="A925" s="42" t="n"/>
      <c r="B925" s="34" t="n"/>
      <c r="C925" s="34" t="n"/>
      <c r="D925" s="34" t="n"/>
      <c r="E925" s="34" t="n"/>
      <c r="F925" s="34" t="n"/>
      <c r="G925" s="34" t="n"/>
      <c r="H925" s="49" t="n"/>
      <c r="I925" s="48" t="n"/>
      <c r="J925" s="49" t="n"/>
      <c r="K925" s="49" t="n"/>
      <c r="L925" s="49" t="n"/>
      <c r="M925" s="51" t="n"/>
      <c r="N925" s="48" t="n"/>
    </row>
    <row r="926">
      <c r="A926" s="42" t="n"/>
      <c r="B926" s="34" t="n"/>
      <c r="C926" s="34" t="n"/>
      <c r="D926" s="34" t="n"/>
      <c r="E926" s="34" t="n"/>
      <c r="F926" s="34" t="n"/>
      <c r="G926" s="34" t="n"/>
      <c r="H926" s="49" t="n"/>
      <c r="I926" s="48" t="n"/>
      <c r="J926" s="49" t="n"/>
      <c r="K926" s="49" t="n"/>
      <c r="L926" s="49" t="n"/>
      <c r="M926" s="51" t="n"/>
      <c r="N926" s="48" t="n"/>
    </row>
    <row r="927">
      <c r="A927" s="42" t="n"/>
      <c r="B927" s="34" t="n"/>
      <c r="C927" s="34" t="n"/>
      <c r="D927" s="34" t="n"/>
      <c r="E927" s="34" t="n"/>
      <c r="F927" s="34" t="n"/>
      <c r="G927" s="34" t="n"/>
      <c r="H927" s="49" t="n"/>
      <c r="I927" s="48" t="n"/>
      <c r="J927" s="49" t="n"/>
      <c r="K927" s="49" t="n"/>
      <c r="L927" s="49" t="n"/>
      <c r="M927" s="51" t="n"/>
      <c r="N927" s="48" t="n"/>
    </row>
    <row r="928">
      <c r="A928" s="42" t="n"/>
      <c r="B928" s="34" t="n"/>
      <c r="C928" s="34" t="n"/>
      <c r="D928" s="34" t="n"/>
      <c r="E928" s="34" t="n"/>
      <c r="F928" s="34" t="n"/>
      <c r="G928" s="34" t="n"/>
      <c r="H928" s="49" t="n"/>
      <c r="I928" s="48" t="n"/>
      <c r="J928" s="49" t="n"/>
      <c r="K928" s="49" t="n"/>
      <c r="L928" s="49" t="n"/>
      <c r="M928" s="51" t="n"/>
      <c r="N928" s="48" t="n"/>
    </row>
    <row r="929">
      <c r="A929" s="42" t="n"/>
      <c r="B929" s="34" t="n"/>
      <c r="C929" s="34" t="n"/>
      <c r="D929" s="34" t="n"/>
      <c r="E929" s="34" t="n"/>
      <c r="F929" s="34" t="n"/>
      <c r="G929" s="34" t="n"/>
      <c r="H929" s="49" t="n"/>
      <c r="I929" s="48" t="n"/>
      <c r="J929" s="49" t="n"/>
      <c r="K929" s="49" t="n"/>
      <c r="L929" s="49" t="n"/>
      <c r="M929" s="51" t="n"/>
      <c r="N929" s="48" t="n"/>
    </row>
    <row r="930">
      <c r="A930" s="42" t="n"/>
      <c r="B930" s="34" t="n"/>
      <c r="C930" s="34" t="n"/>
      <c r="D930" s="34" t="n"/>
      <c r="E930" s="34" t="n"/>
      <c r="F930" s="34" t="n"/>
      <c r="G930" s="34" t="n"/>
      <c r="H930" s="49" t="n"/>
      <c r="I930" s="48" t="n"/>
      <c r="J930" s="49" t="n"/>
      <c r="K930" s="49" t="n"/>
      <c r="L930" s="49" t="n"/>
      <c r="M930" s="51" t="n"/>
      <c r="N930" s="48" t="n"/>
    </row>
    <row r="931">
      <c r="A931" s="42" t="n"/>
      <c r="B931" s="34" t="n"/>
      <c r="C931" s="34" t="n"/>
      <c r="D931" s="34" t="n"/>
      <c r="E931" s="34" t="n"/>
      <c r="F931" s="34" t="n"/>
      <c r="G931" s="34" t="n"/>
      <c r="H931" s="49" t="n"/>
      <c r="I931" s="48" t="n"/>
      <c r="J931" s="49" t="n"/>
      <c r="K931" s="49" t="n"/>
      <c r="L931" s="49" t="n"/>
      <c r="M931" s="51" t="n"/>
      <c r="N931" s="48" t="n"/>
    </row>
    <row r="932">
      <c r="A932" s="42" t="n"/>
      <c r="B932" s="34" t="n"/>
      <c r="C932" s="34" t="n"/>
      <c r="D932" s="34" t="n"/>
      <c r="E932" s="34" t="n"/>
      <c r="F932" s="34" t="n"/>
      <c r="G932" s="34" t="n"/>
      <c r="H932" s="49" t="n"/>
      <c r="I932" s="48" t="n"/>
      <c r="J932" s="49" t="n"/>
      <c r="K932" s="49" t="n"/>
      <c r="L932" s="49" t="n"/>
      <c r="M932" s="51" t="n"/>
      <c r="N932" s="48" t="n"/>
    </row>
    <row r="933">
      <c r="A933" s="42" t="n"/>
      <c r="B933" s="34" t="n"/>
      <c r="C933" s="34" t="n"/>
      <c r="D933" s="34" t="n"/>
      <c r="E933" s="34" t="n"/>
      <c r="F933" s="34" t="n"/>
      <c r="G933" s="34" t="n"/>
      <c r="H933" s="49" t="n"/>
      <c r="I933" s="48" t="n"/>
      <c r="J933" s="49" t="n"/>
      <c r="K933" s="49" t="n"/>
      <c r="L933" s="49" t="n"/>
      <c r="M933" s="51" t="n"/>
      <c r="N933" s="48" t="n"/>
    </row>
    <row r="934">
      <c r="A934" s="42" t="n"/>
      <c r="B934" s="34" t="n"/>
      <c r="C934" s="34" t="n"/>
      <c r="D934" s="34" t="n"/>
      <c r="E934" s="34" t="n"/>
      <c r="F934" s="34" t="n"/>
      <c r="G934" s="34" t="n"/>
      <c r="H934" s="49" t="n"/>
      <c r="I934" s="48" t="n"/>
      <c r="J934" s="49" t="n"/>
      <c r="K934" s="49" t="n"/>
      <c r="L934" s="49" t="n"/>
      <c r="M934" s="51" t="n"/>
      <c r="N934" s="48" t="n"/>
    </row>
    <row r="935">
      <c r="A935" s="42" t="n"/>
      <c r="B935" s="34" t="n"/>
      <c r="C935" s="34" t="n"/>
      <c r="D935" s="34" t="n"/>
      <c r="E935" s="34" t="n"/>
      <c r="F935" s="34" t="n"/>
      <c r="G935" s="34" t="n"/>
      <c r="H935" s="49" t="n"/>
      <c r="I935" s="48" t="n"/>
      <c r="J935" s="49" t="n"/>
      <c r="K935" s="49" t="n"/>
      <c r="L935" s="49" t="n"/>
      <c r="M935" s="51" t="n"/>
      <c r="N935" s="48" t="n"/>
    </row>
    <row r="936">
      <c r="A936" s="42" t="n"/>
      <c r="B936" s="34" t="n"/>
      <c r="C936" s="34" t="n"/>
      <c r="D936" s="34" t="n"/>
      <c r="E936" s="34" t="n"/>
      <c r="F936" s="34" t="n"/>
      <c r="G936" s="34" t="n"/>
      <c r="H936" s="49" t="n"/>
      <c r="I936" s="48" t="n"/>
      <c r="J936" s="49" t="n"/>
      <c r="K936" s="49" t="n"/>
      <c r="L936" s="49" t="n"/>
      <c r="M936" s="51" t="n"/>
      <c r="N936" s="48" t="n"/>
    </row>
    <row r="937">
      <c r="A937" s="42" t="n"/>
      <c r="B937" s="34" t="n"/>
      <c r="C937" s="34" t="n"/>
      <c r="D937" s="34" t="n"/>
      <c r="E937" s="34" t="n"/>
      <c r="F937" s="34" t="n"/>
      <c r="G937" s="34" t="n"/>
      <c r="H937" s="49" t="n"/>
      <c r="I937" s="48" t="n"/>
      <c r="J937" s="49" t="n"/>
      <c r="K937" s="49" t="n"/>
      <c r="L937" s="49" t="n"/>
      <c r="M937" s="51" t="n"/>
      <c r="N937" s="48" t="n"/>
    </row>
    <row r="938">
      <c r="A938" s="42" t="n"/>
      <c r="B938" s="34" t="n"/>
      <c r="C938" s="34" t="n"/>
      <c r="D938" s="34" t="n"/>
      <c r="E938" s="34" t="n"/>
      <c r="F938" s="34" t="n"/>
      <c r="G938" s="34" t="n"/>
      <c r="H938" s="49" t="n"/>
      <c r="I938" s="48" t="n"/>
      <c r="J938" s="49" t="n"/>
      <c r="K938" s="49" t="n"/>
      <c r="L938" s="49" t="n"/>
      <c r="M938" s="51" t="n"/>
      <c r="N938" s="48" t="n"/>
    </row>
    <row r="939">
      <c r="A939" s="42" t="n"/>
      <c r="B939" s="34" t="n"/>
      <c r="C939" s="34" t="n"/>
      <c r="D939" s="34" t="n"/>
      <c r="E939" s="34" t="n"/>
      <c r="F939" s="34" t="n"/>
      <c r="G939" s="34" t="n"/>
      <c r="H939" s="49" t="n"/>
      <c r="I939" s="48" t="n"/>
      <c r="J939" s="49" t="n"/>
      <c r="K939" s="49" t="n"/>
      <c r="L939" s="49" t="n"/>
      <c r="M939" s="51" t="n"/>
      <c r="N939" s="48" t="n"/>
    </row>
    <row r="940">
      <c r="A940" s="42" t="n"/>
      <c r="B940" s="34" t="n"/>
      <c r="C940" s="34" t="n"/>
      <c r="D940" s="34" t="n"/>
      <c r="E940" s="34" t="n"/>
      <c r="F940" s="34" t="n"/>
      <c r="G940" s="34" t="n"/>
      <c r="H940" s="49" t="n"/>
      <c r="I940" s="48" t="n"/>
      <c r="J940" s="49" t="n"/>
      <c r="K940" s="49" t="n"/>
      <c r="L940" s="49" t="n"/>
      <c r="M940" s="51" t="n"/>
      <c r="N940" s="48" t="n"/>
    </row>
    <row r="941">
      <c r="A941" s="42" t="n"/>
      <c r="B941" s="34" t="n"/>
      <c r="C941" s="34" t="n"/>
      <c r="D941" s="34" t="n"/>
      <c r="E941" s="34" t="n"/>
      <c r="F941" s="34" t="n"/>
      <c r="G941" s="34" t="n"/>
      <c r="H941" s="49" t="n"/>
      <c r="I941" s="48" t="n"/>
      <c r="J941" s="49" t="n"/>
      <c r="K941" s="49" t="n"/>
      <c r="L941" s="49" t="n"/>
      <c r="M941" s="51" t="n"/>
      <c r="N941" s="48" t="n"/>
    </row>
    <row r="942">
      <c r="A942" s="42" t="n"/>
      <c r="B942" s="34" t="n"/>
      <c r="C942" s="34" t="n"/>
      <c r="D942" s="34" t="n"/>
      <c r="E942" s="34" t="n"/>
      <c r="F942" s="34" t="n"/>
      <c r="G942" s="34" t="n"/>
      <c r="H942" s="49" t="n"/>
      <c r="I942" s="48" t="n"/>
      <c r="J942" s="49" t="n"/>
      <c r="K942" s="49" t="n"/>
      <c r="L942" s="49" t="n"/>
      <c r="M942" s="51" t="n"/>
      <c r="N942" s="48" t="n"/>
    </row>
    <row r="943">
      <c r="A943" s="42" t="n"/>
      <c r="B943" s="34" t="n"/>
      <c r="C943" s="34" t="n"/>
      <c r="D943" s="34" t="n"/>
      <c r="E943" s="34" t="n"/>
      <c r="F943" s="34" t="n"/>
      <c r="G943" s="34" t="n"/>
      <c r="H943" s="49" t="n"/>
      <c r="I943" s="48" t="n"/>
      <c r="J943" s="49" t="n"/>
      <c r="K943" s="49" t="n"/>
      <c r="L943" s="49" t="n"/>
      <c r="M943" s="51" t="n"/>
      <c r="N943" s="48" t="n"/>
    </row>
    <row r="944">
      <c r="A944" s="42" t="n"/>
      <c r="B944" s="34" t="n"/>
      <c r="C944" s="34" t="n"/>
      <c r="D944" s="34" t="n"/>
      <c r="E944" s="34" t="n"/>
      <c r="F944" s="34" t="n"/>
      <c r="G944" s="34" t="n"/>
      <c r="H944" s="49" t="n"/>
      <c r="I944" s="48" t="n"/>
      <c r="J944" s="49" t="n"/>
      <c r="K944" s="49" t="n"/>
      <c r="L944" s="49" t="n"/>
      <c r="M944" s="51" t="n"/>
      <c r="N944" s="48" t="n"/>
    </row>
    <row r="945">
      <c r="A945" s="42" t="n"/>
      <c r="B945" s="34" t="n"/>
      <c r="C945" s="34" t="n"/>
      <c r="D945" s="34" t="n"/>
      <c r="E945" s="34" t="n"/>
      <c r="F945" s="34" t="n"/>
      <c r="G945" s="34" t="n"/>
      <c r="H945" s="49" t="n"/>
      <c r="I945" s="48" t="n"/>
      <c r="J945" s="49" t="n"/>
      <c r="K945" s="49" t="n"/>
      <c r="L945" s="49" t="n"/>
      <c r="M945" s="51" t="n"/>
      <c r="N945" s="48" t="n"/>
    </row>
    <row r="946">
      <c r="A946" s="42" t="n"/>
      <c r="B946" s="34" t="n"/>
      <c r="C946" s="34" t="n"/>
      <c r="D946" s="34" t="n"/>
      <c r="E946" s="34" t="n"/>
      <c r="F946" s="34" t="n"/>
      <c r="G946" s="34" t="n"/>
      <c r="H946" s="49" t="n"/>
      <c r="I946" s="48" t="n"/>
      <c r="J946" s="49" t="n"/>
      <c r="K946" s="49" t="n"/>
      <c r="L946" s="49" t="n"/>
      <c r="M946" s="51" t="n"/>
      <c r="N946" s="48" t="n"/>
    </row>
    <row r="947">
      <c r="A947" s="42" t="n"/>
      <c r="B947" s="34" t="n"/>
      <c r="C947" s="34" t="n"/>
      <c r="D947" s="34" t="n"/>
      <c r="E947" s="34" t="n"/>
      <c r="F947" s="34" t="n"/>
      <c r="G947" s="34" t="n"/>
      <c r="H947" s="49" t="n"/>
      <c r="I947" s="48" t="n"/>
      <c r="J947" s="49" t="n"/>
      <c r="K947" s="49" t="n"/>
      <c r="L947" s="49" t="n"/>
      <c r="M947" s="51" t="n"/>
      <c r="N947" s="48" t="n"/>
    </row>
    <row r="948">
      <c r="A948" s="42" t="n"/>
      <c r="B948" s="34" t="n"/>
      <c r="C948" s="34" t="n"/>
      <c r="D948" s="34" t="n"/>
      <c r="E948" s="34" t="n"/>
      <c r="F948" s="34" t="n"/>
      <c r="G948" s="34" t="n"/>
      <c r="H948" s="49" t="n"/>
      <c r="I948" s="48" t="n"/>
      <c r="J948" s="49" t="n"/>
      <c r="K948" s="49" t="n"/>
      <c r="L948" s="49" t="n"/>
      <c r="M948" s="51" t="n"/>
      <c r="N948" s="48" t="n"/>
    </row>
    <row r="949">
      <c r="A949" s="42" t="n"/>
      <c r="B949" s="34" t="n"/>
      <c r="C949" s="34" t="n"/>
      <c r="D949" s="34" t="n"/>
      <c r="E949" s="34" t="n"/>
      <c r="F949" s="34" t="n"/>
      <c r="G949" s="34" t="n"/>
      <c r="H949" s="49" t="n"/>
      <c r="I949" s="48" t="n"/>
      <c r="J949" s="49" t="n"/>
      <c r="K949" s="49" t="n"/>
      <c r="L949" s="49" t="n"/>
      <c r="M949" s="51" t="n"/>
      <c r="N949" s="48" t="n"/>
    </row>
    <row r="950">
      <c r="A950" s="42" t="n"/>
      <c r="B950" s="34" t="n"/>
      <c r="C950" s="34" t="n"/>
      <c r="D950" s="34" t="n"/>
      <c r="E950" s="34" t="n"/>
      <c r="F950" s="34" t="n"/>
      <c r="G950" s="34" t="n"/>
      <c r="H950" s="49" t="n"/>
      <c r="I950" s="48" t="n"/>
      <c r="J950" s="49" t="n"/>
      <c r="K950" s="49" t="n"/>
      <c r="L950" s="49" t="n"/>
      <c r="M950" s="51" t="n"/>
      <c r="N950" s="48" t="n"/>
    </row>
    <row r="951">
      <c r="A951" s="42" t="n"/>
      <c r="B951" s="34" t="n"/>
      <c r="C951" s="34" t="n"/>
      <c r="D951" s="34" t="n"/>
      <c r="E951" s="34" t="n"/>
      <c r="F951" s="34" t="n"/>
      <c r="G951" s="34" t="n"/>
      <c r="H951" s="49" t="n"/>
      <c r="I951" s="48" t="n"/>
      <c r="J951" s="49" t="n"/>
      <c r="K951" s="49" t="n"/>
      <c r="L951" s="49" t="n"/>
      <c r="M951" s="51" t="n"/>
      <c r="N951" s="48" t="n"/>
    </row>
    <row r="952">
      <c r="A952" s="42" t="n"/>
      <c r="B952" s="34" t="n"/>
      <c r="C952" s="34" t="n"/>
      <c r="D952" s="34" t="n"/>
      <c r="E952" s="34" t="n"/>
      <c r="F952" s="34" t="n"/>
      <c r="G952" s="34" t="n"/>
      <c r="H952" s="49" t="n"/>
      <c r="I952" s="48" t="n"/>
      <c r="J952" s="49" t="n"/>
      <c r="K952" s="49" t="n"/>
      <c r="L952" s="49" t="n"/>
      <c r="M952" s="51" t="n"/>
      <c r="N952" s="48" t="n"/>
    </row>
    <row r="953">
      <c r="A953" s="42" t="n"/>
      <c r="B953" s="34" t="n"/>
      <c r="C953" s="34" t="n"/>
      <c r="D953" s="34" t="n"/>
      <c r="E953" s="34" t="n"/>
      <c r="F953" s="34" t="n"/>
      <c r="G953" s="34" t="n"/>
      <c r="H953" s="49" t="n"/>
      <c r="I953" s="48" t="n"/>
      <c r="J953" s="49" t="n"/>
      <c r="K953" s="49" t="n"/>
      <c r="L953" s="49" t="n"/>
      <c r="M953" s="51" t="n"/>
      <c r="N953" s="48" t="n"/>
    </row>
    <row r="954">
      <c r="A954" s="42" t="n"/>
      <c r="B954" s="34" t="n"/>
      <c r="C954" s="34" t="n"/>
      <c r="D954" s="34" t="n"/>
      <c r="E954" s="34" t="n"/>
      <c r="F954" s="34" t="n"/>
      <c r="G954" s="34" t="n"/>
      <c r="H954" s="49" t="n"/>
      <c r="I954" s="48" t="n"/>
      <c r="J954" s="49" t="n"/>
      <c r="K954" s="49" t="n"/>
      <c r="L954" s="49" t="n"/>
      <c r="M954" s="51" t="n"/>
      <c r="N954" s="48" t="n"/>
    </row>
    <row r="955">
      <c r="A955" s="42" t="n"/>
      <c r="B955" s="34" t="n"/>
      <c r="C955" s="34" t="n"/>
      <c r="D955" s="34" t="n"/>
      <c r="E955" s="34" t="n"/>
      <c r="F955" s="34" t="n"/>
      <c r="G955" s="34" t="n"/>
      <c r="H955" s="49" t="n"/>
      <c r="I955" s="48" t="n"/>
      <c r="J955" s="49" t="n"/>
      <c r="K955" s="49" t="n"/>
      <c r="L955" s="49" t="n"/>
      <c r="M955" s="51" t="n"/>
      <c r="N955" s="48" t="n"/>
    </row>
    <row r="956">
      <c r="A956" s="42" t="n"/>
      <c r="B956" s="34" t="n"/>
      <c r="C956" s="34" t="n"/>
      <c r="D956" s="34" t="n"/>
      <c r="E956" s="34" t="n"/>
      <c r="F956" s="34" t="n"/>
      <c r="G956" s="34" t="n"/>
      <c r="H956" s="49" t="n"/>
      <c r="I956" s="48" t="n"/>
      <c r="J956" s="49" t="n"/>
      <c r="K956" s="49" t="n"/>
      <c r="L956" s="49" t="n"/>
      <c r="M956" s="51" t="n"/>
      <c r="N956" s="48" t="n"/>
    </row>
    <row r="957">
      <c r="A957" s="42" t="n"/>
      <c r="B957" s="34" t="n"/>
      <c r="C957" s="34" t="n"/>
      <c r="D957" s="34" t="n"/>
      <c r="E957" s="34" t="n"/>
      <c r="F957" s="34" t="n"/>
      <c r="G957" s="34" t="n"/>
      <c r="H957" s="49" t="n"/>
      <c r="I957" s="48" t="n"/>
      <c r="J957" s="49" t="n"/>
      <c r="K957" s="49" t="n"/>
      <c r="L957" s="49" t="n"/>
      <c r="M957" s="51" t="n"/>
      <c r="N957" s="48" t="n"/>
    </row>
    <row r="958">
      <c r="A958" s="42" t="n"/>
      <c r="B958" s="34" t="n"/>
      <c r="C958" s="34" t="n"/>
      <c r="D958" s="34" t="n"/>
      <c r="E958" s="34" t="n"/>
      <c r="F958" s="34" t="n"/>
      <c r="G958" s="34" t="n"/>
      <c r="H958" s="49" t="n"/>
      <c r="I958" s="48" t="n"/>
      <c r="J958" s="49" t="n"/>
      <c r="K958" s="49" t="n"/>
      <c r="L958" s="49" t="n"/>
      <c r="M958" s="51" t="n"/>
      <c r="N958" s="48" t="n"/>
    </row>
    <row r="959">
      <c r="A959" s="42" t="n"/>
      <c r="B959" s="34" t="n"/>
      <c r="C959" s="34" t="n"/>
      <c r="D959" s="34" t="n"/>
      <c r="E959" s="34" t="n"/>
      <c r="F959" s="34" t="n"/>
      <c r="G959" s="34" t="n"/>
      <c r="H959" s="49" t="n"/>
      <c r="I959" s="48" t="n"/>
      <c r="J959" s="49" t="n"/>
      <c r="K959" s="49" t="n"/>
      <c r="L959" s="49" t="n"/>
      <c r="M959" s="51" t="n"/>
      <c r="N959" s="48" t="n"/>
    </row>
    <row r="960">
      <c r="A960" s="42" t="n"/>
      <c r="B960" s="34" t="n"/>
      <c r="C960" s="34" t="n"/>
      <c r="D960" s="34" t="n"/>
      <c r="E960" s="34" t="n"/>
      <c r="F960" s="34" t="n"/>
      <c r="G960" s="34" t="n"/>
      <c r="H960" s="49" t="n"/>
      <c r="I960" s="48" t="n"/>
      <c r="J960" s="49" t="n"/>
      <c r="K960" s="49" t="n"/>
      <c r="L960" s="49" t="n"/>
      <c r="M960" s="51" t="n"/>
      <c r="N960" s="48" t="n"/>
    </row>
    <row r="961">
      <c r="A961" s="42" t="n"/>
      <c r="B961" s="34" t="n"/>
      <c r="C961" s="34" t="n"/>
      <c r="D961" s="34" t="n"/>
      <c r="E961" s="34" t="n"/>
      <c r="F961" s="34" t="n"/>
      <c r="G961" s="34" t="n"/>
      <c r="H961" s="49" t="n"/>
      <c r="I961" s="48" t="n"/>
      <c r="J961" s="49" t="n"/>
      <c r="K961" s="49" t="n"/>
      <c r="L961" s="49" t="n"/>
      <c r="M961" s="51" t="n"/>
      <c r="N961" s="48" t="n"/>
    </row>
    <row r="962">
      <c r="A962" s="42" t="n"/>
      <c r="B962" s="34" t="n"/>
      <c r="C962" s="34" t="n"/>
      <c r="D962" s="34" t="n"/>
      <c r="E962" s="34" t="n"/>
      <c r="F962" s="34" t="n"/>
      <c r="G962" s="34" t="n"/>
      <c r="H962" s="49" t="n"/>
      <c r="I962" s="48" t="n"/>
      <c r="J962" s="49" t="n"/>
      <c r="K962" s="49" t="n"/>
      <c r="L962" s="49" t="n"/>
      <c r="M962" s="51" t="n"/>
      <c r="N962" s="48" t="n"/>
    </row>
    <row r="963">
      <c r="A963" s="42" t="n"/>
      <c r="B963" s="34" t="n"/>
      <c r="C963" s="34" t="n"/>
      <c r="D963" s="34" t="n"/>
      <c r="E963" s="34" t="n"/>
      <c r="F963" s="34" t="n"/>
      <c r="G963" s="34" t="n"/>
      <c r="H963" s="49" t="n"/>
      <c r="I963" s="48" t="n"/>
      <c r="J963" s="49" t="n"/>
      <c r="K963" s="49" t="n"/>
      <c r="L963" s="49" t="n"/>
      <c r="M963" s="51" t="n"/>
      <c r="N963" s="48" t="n"/>
    </row>
    <row r="964">
      <c r="A964" s="42" t="n"/>
      <c r="B964" s="34" t="n"/>
      <c r="C964" s="34" t="n"/>
      <c r="D964" s="34" t="n"/>
      <c r="E964" s="34" t="n"/>
      <c r="F964" s="34" t="n"/>
      <c r="G964" s="34" t="n"/>
      <c r="H964" s="49" t="n"/>
      <c r="I964" s="48" t="n"/>
      <c r="J964" s="49" t="n"/>
      <c r="K964" s="49" t="n"/>
      <c r="L964" s="49" t="n"/>
      <c r="M964" s="51" t="n"/>
      <c r="N964" s="48" t="n"/>
    </row>
    <row r="965">
      <c r="A965" s="42" t="n"/>
      <c r="B965" s="34" t="n"/>
      <c r="C965" s="34" t="n"/>
      <c r="D965" s="34" t="n"/>
      <c r="E965" s="34" t="n"/>
      <c r="F965" s="34" t="n"/>
      <c r="G965" s="34" t="n"/>
      <c r="H965" s="49" t="n"/>
      <c r="I965" s="48" t="n"/>
      <c r="J965" s="49" t="n"/>
      <c r="K965" s="49" t="n"/>
      <c r="L965" s="49" t="n"/>
      <c r="M965" s="51" t="n"/>
      <c r="N965" s="48" t="n"/>
    </row>
    <row r="966">
      <c r="A966" s="42" t="n"/>
      <c r="B966" s="34" t="n"/>
      <c r="C966" s="34" t="n"/>
      <c r="D966" s="34" t="n"/>
      <c r="E966" s="34" t="n"/>
      <c r="F966" s="34" t="n"/>
      <c r="G966" s="34" t="n"/>
      <c r="H966" s="49" t="n"/>
      <c r="I966" s="48" t="n"/>
      <c r="J966" s="49" t="n"/>
      <c r="K966" s="49" t="n"/>
      <c r="L966" s="49" t="n"/>
      <c r="M966" s="51" t="n"/>
      <c r="N966" s="48" t="n"/>
    </row>
    <row r="967">
      <c r="A967" s="42" t="n"/>
      <c r="B967" s="34" t="n"/>
      <c r="C967" s="34" t="n"/>
      <c r="D967" s="34" t="n"/>
      <c r="E967" s="34" t="n"/>
      <c r="F967" s="34" t="n"/>
      <c r="G967" s="34" t="n"/>
      <c r="H967" s="49" t="n"/>
      <c r="I967" s="48" t="n"/>
      <c r="J967" s="49" t="n"/>
      <c r="K967" s="49" t="n"/>
      <c r="L967" s="49" t="n"/>
      <c r="M967" s="51" t="n"/>
      <c r="N967" s="48" t="n"/>
    </row>
    <row r="968">
      <c r="A968" s="42" t="n"/>
      <c r="B968" s="34" t="n"/>
      <c r="C968" s="34" t="n"/>
      <c r="D968" s="34" t="n"/>
      <c r="E968" s="34" t="n"/>
      <c r="F968" s="34" t="n"/>
      <c r="G968" s="34" t="n"/>
      <c r="H968" s="49" t="n"/>
      <c r="I968" s="48" t="n"/>
      <c r="J968" s="49" t="n"/>
      <c r="K968" s="49" t="n"/>
      <c r="L968" s="49" t="n"/>
      <c r="M968" s="51" t="n"/>
      <c r="N968" s="48" t="n"/>
    </row>
    <row r="969">
      <c r="A969" s="42" t="n"/>
      <c r="B969" s="34" t="n"/>
      <c r="C969" s="34" t="n"/>
      <c r="D969" s="34" t="n"/>
      <c r="E969" s="34" t="n"/>
      <c r="F969" s="34" t="n"/>
      <c r="G969" s="34" t="n"/>
      <c r="H969" s="49" t="n"/>
      <c r="I969" s="48" t="n"/>
      <c r="J969" s="49" t="n"/>
      <c r="K969" s="49" t="n"/>
      <c r="L969" s="49" t="n"/>
      <c r="M969" s="51" t="n"/>
      <c r="N969" s="48" t="n"/>
    </row>
    <row r="970">
      <c r="A970" s="42" t="n"/>
      <c r="B970" s="34" t="n"/>
      <c r="C970" s="34" t="n"/>
      <c r="D970" s="34" t="n"/>
      <c r="E970" s="34" t="n"/>
      <c r="F970" s="34" t="n"/>
      <c r="G970" s="34" t="n"/>
      <c r="H970" s="49" t="n"/>
      <c r="I970" s="48" t="n"/>
      <c r="J970" s="49" t="n"/>
      <c r="K970" s="49" t="n"/>
      <c r="L970" s="49" t="n"/>
      <c r="M970" s="51" t="n"/>
      <c r="N970" s="48" t="n"/>
    </row>
    <row r="971">
      <c r="A971" s="42" t="n"/>
      <c r="B971" s="34" t="n"/>
      <c r="C971" s="34" t="n"/>
      <c r="D971" s="34" t="n"/>
      <c r="E971" s="34" t="n"/>
      <c r="F971" s="34" t="n"/>
      <c r="G971" s="34" t="n"/>
      <c r="H971" s="49" t="n"/>
      <c r="I971" s="48" t="n"/>
      <c r="J971" s="49" t="n"/>
      <c r="K971" s="49" t="n"/>
      <c r="L971" s="49" t="n"/>
      <c r="M971" s="51" t="n"/>
      <c r="N971" s="48" t="n"/>
    </row>
    <row r="972">
      <c r="A972" s="42" t="n"/>
      <c r="B972" s="34" t="n"/>
      <c r="C972" s="34" t="n"/>
      <c r="D972" s="34" t="n"/>
      <c r="E972" s="34" t="n"/>
      <c r="F972" s="34" t="n"/>
      <c r="G972" s="34" t="n"/>
      <c r="H972" s="49" t="n"/>
      <c r="I972" s="48" t="n"/>
      <c r="J972" s="49" t="n"/>
      <c r="K972" s="49" t="n"/>
      <c r="L972" s="49" t="n"/>
      <c r="M972" s="51" t="n"/>
      <c r="N972" s="48" t="n"/>
    </row>
    <row r="973">
      <c r="A973" s="42" t="n"/>
      <c r="B973" s="34" t="n"/>
      <c r="C973" s="34" t="n"/>
      <c r="D973" s="34" t="n"/>
      <c r="E973" s="34" t="n"/>
      <c r="F973" s="34" t="n"/>
      <c r="G973" s="34" t="n"/>
      <c r="H973" s="49" t="n"/>
      <c r="I973" s="48" t="n"/>
      <c r="J973" s="49" t="n"/>
      <c r="K973" s="49" t="n"/>
      <c r="L973" s="49" t="n"/>
      <c r="M973" s="51" t="n"/>
      <c r="N973" s="48" t="n"/>
    </row>
    <row r="974">
      <c r="A974" s="42" t="n"/>
      <c r="B974" s="34" t="n"/>
      <c r="C974" s="34" t="n"/>
      <c r="D974" s="34" t="n"/>
      <c r="E974" s="34" t="n"/>
      <c r="F974" s="34" t="n"/>
      <c r="G974" s="34" t="n"/>
      <c r="H974" s="49" t="n"/>
      <c r="I974" s="48" t="n"/>
      <c r="J974" s="49" t="n"/>
      <c r="K974" s="49" t="n"/>
      <c r="L974" s="49" t="n"/>
      <c r="M974" s="51" t="n"/>
      <c r="N974" s="48" t="n"/>
    </row>
    <row r="975">
      <c r="A975" s="42" t="n"/>
      <c r="B975" s="34" t="n"/>
      <c r="C975" s="34" t="n"/>
      <c r="D975" s="34" t="n"/>
      <c r="E975" s="34" t="n"/>
      <c r="F975" s="34" t="n"/>
      <c r="G975" s="34" t="n"/>
      <c r="H975" s="49" t="n"/>
      <c r="I975" s="48" t="n"/>
      <c r="J975" s="49" t="n"/>
      <c r="K975" s="49" t="n"/>
      <c r="L975" s="49" t="n"/>
      <c r="M975" s="51" t="n"/>
      <c r="N975" s="48" t="n"/>
    </row>
    <row r="976">
      <c r="A976" s="42" t="n"/>
      <c r="B976" s="34" t="n"/>
      <c r="C976" s="34" t="n"/>
      <c r="D976" s="34" t="n"/>
      <c r="E976" s="34" t="n"/>
      <c r="F976" s="34" t="n"/>
      <c r="G976" s="34" t="n"/>
      <c r="H976" s="49" t="n"/>
      <c r="I976" s="48" t="n"/>
      <c r="J976" s="49" t="n"/>
      <c r="K976" s="49" t="n"/>
      <c r="L976" s="49" t="n"/>
      <c r="M976" s="51" t="n"/>
      <c r="N976" s="48" t="n"/>
    </row>
    <row r="977">
      <c r="A977" s="42" t="n"/>
      <c r="B977" s="34" t="n"/>
      <c r="C977" s="34" t="n"/>
      <c r="D977" s="34" t="n"/>
      <c r="E977" s="34" t="n"/>
      <c r="F977" s="34" t="n"/>
      <c r="G977" s="34" t="n"/>
      <c r="H977" s="49" t="n"/>
      <c r="I977" s="48" t="n"/>
      <c r="J977" s="49" t="n"/>
      <c r="K977" s="49" t="n"/>
      <c r="L977" s="49" t="n"/>
      <c r="M977" s="51" t="n"/>
      <c r="N977" s="48" t="n"/>
    </row>
    <row r="978">
      <c r="A978" s="42" t="n"/>
      <c r="B978" s="34" t="n"/>
      <c r="C978" s="34" t="n"/>
      <c r="D978" s="34" t="n"/>
      <c r="E978" s="34" t="n"/>
      <c r="F978" s="34" t="n"/>
      <c r="G978" s="34" t="n"/>
      <c r="H978" s="49" t="n"/>
      <c r="I978" s="48" t="n"/>
      <c r="J978" s="49" t="n"/>
      <c r="K978" s="49" t="n"/>
      <c r="L978" s="49" t="n"/>
      <c r="M978" s="51" t="n"/>
      <c r="N978" s="48" t="n"/>
    </row>
    <row r="979">
      <c r="A979" s="42" t="n"/>
      <c r="B979" s="34" t="n"/>
      <c r="C979" s="34" t="n"/>
      <c r="D979" s="34" t="n"/>
      <c r="E979" s="34" t="n"/>
      <c r="F979" s="34" t="n"/>
      <c r="G979" s="34" t="n"/>
      <c r="H979" s="49" t="n"/>
      <c r="I979" s="48" t="n"/>
      <c r="J979" s="49" t="n"/>
      <c r="K979" s="49" t="n"/>
      <c r="L979" s="49" t="n"/>
      <c r="M979" s="51" t="n"/>
      <c r="N979" s="48" t="n"/>
    </row>
    <row r="980">
      <c r="A980" s="42" t="n"/>
      <c r="B980" s="34" t="n"/>
      <c r="C980" s="34" t="n"/>
      <c r="D980" s="34" t="n"/>
      <c r="E980" s="34" t="n"/>
      <c r="F980" s="34" t="n"/>
      <c r="G980" s="34" t="n"/>
      <c r="H980" s="49" t="n"/>
      <c r="I980" s="48" t="n"/>
      <c r="J980" s="49" t="n"/>
      <c r="K980" s="49" t="n"/>
      <c r="L980" s="49" t="n"/>
      <c r="M980" s="51" t="n"/>
      <c r="N980" s="48" t="n"/>
    </row>
    <row r="981">
      <c r="A981" s="42" t="n"/>
      <c r="B981" s="34" t="n"/>
      <c r="C981" s="34" t="n"/>
      <c r="D981" s="34" t="n"/>
      <c r="E981" s="34" t="n"/>
      <c r="F981" s="34" t="n"/>
      <c r="G981" s="34" t="n"/>
      <c r="H981" s="49" t="n"/>
      <c r="I981" s="48" t="n"/>
      <c r="J981" s="49" t="n"/>
      <c r="K981" s="49" t="n"/>
      <c r="L981" s="49" t="n"/>
      <c r="M981" s="51" t="n"/>
      <c r="N981" s="48" t="n"/>
    </row>
    <row r="982">
      <c r="A982" s="42" t="n"/>
      <c r="B982" s="34" t="n"/>
      <c r="C982" s="34" t="n"/>
      <c r="D982" s="34" t="n"/>
      <c r="E982" s="34" t="n"/>
      <c r="F982" s="34" t="n"/>
      <c r="G982" s="34" t="n"/>
      <c r="H982" s="49" t="n"/>
      <c r="I982" s="48" t="n"/>
      <c r="J982" s="49" t="n"/>
      <c r="K982" s="49" t="n"/>
      <c r="L982" s="49" t="n"/>
      <c r="M982" s="51" t="n"/>
      <c r="N982" s="48" t="n"/>
    </row>
    <row r="983">
      <c r="A983" s="42" t="n"/>
      <c r="B983" s="34" t="n"/>
      <c r="C983" s="34" t="n"/>
      <c r="D983" s="34" t="n"/>
      <c r="E983" s="34" t="n"/>
      <c r="F983" s="34" t="n"/>
      <c r="G983" s="34" t="n"/>
      <c r="H983" s="49" t="n"/>
      <c r="I983" s="48" t="n"/>
      <c r="J983" s="49" t="n"/>
      <c r="K983" s="49" t="n"/>
      <c r="L983" s="49" t="n"/>
      <c r="M983" s="51" t="n"/>
      <c r="N983" s="48" t="n"/>
    </row>
    <row r="984">
      <c r="A984" s="42" t="n"/>
      <c r="B984" s="34" t="n"/>
      <c r="C984" s="34" t="n"/>
      <c r="D984" s="34" t="n"/>
      <c r="E984" s="34" t="n"/>
      <c r="F984" s="34" t="n"/>
      <c r="G984" s="34" t="n"/>
      <c r="H984" s="49" t="n"/>
      <c r="I984" s="48" t="n"/>
      <c r="J984" s="49" t="n"/>
      <c r="K984" s="49" t="n"/>
      <c r="L984" s="49" t="n"/>
      <c r="M984" s="51" t="n"/>
      <c r="N984" s="48" t="n"/>
    </row>
    <row r="985">
      <c r="A985" s="42" t="n"/>
      <c r="B985" s="34" t="n"/>
      <c r="C985" s="34" t="n"/>
      <c r="D985" s="34" t="n"/>
      <c r="E985" s="34" t="n"/>
      <c r="F985" s="34" t="n"/>
      <c r="G985" s="34" t="n"/>
      <c r="H985" s="49" t="n"/>
      <c r="I985" s="48" t="n"/>
      <c r="J985" s="49" t="n"/>
      <c r="K985" s="49" t="n"/>
      <c r="L985" s="49" t="n"/>
      <c r="M985" s="51" t="n"/>
      <c r="N985" s="48" t="n"/>
    </row>
    <row r="986">
      <c r="A986" s="42" t="n"/>
      <c r="B986" s="34" t="n"/>
      <c r="C986" s="34" t="n"/>
      <c r="D986" s="34" t="n"/>
      <c r="E986" s="34" t="n"/>
      <c r="F986" s="34" t="n"/>
      <c r="G986" s="34" t="n"/>
      <c r="H986" s="49" t="n"/>
      <c r="I986" s="48" t="n"/>
      <c r="J986" s="49" t="n"/>
      <c r="K986" s="49" t="n"/>
      <c r="L986" s="49" t="n"/>
      <c r="M986" s="51" t="n"/>
      <c r="N986" s="48" t="n"/>
    </row>
    <row r="987">
      <c r="A987" s="42" t="n"/>
      <c r="B987" s="34" t="n"/>
      <c r="C987" s="34" t="n"/>
      <c r="D987" s="34" t="n"/>
      <c r="E987" s="34" t="n"/>
      <c r="F987" s="34" t="n"/>
      <c r="G987" s="34" t="n"/>
      <c r="H987" s="49" t="n"/>
      <c r="I987" s="48" t="n"/>
      <c r="J987" s="49" t="n"/>
      <c r="K987" s="49" t="n"/>
      <c r="L987" s="49" t="n"/>
      <c r="M987" s="51" t="n"/>
      <c r="N987" s="48" t="n"/>
    </row>
    <row r="988">
      <c r="A988" s="42" t="n"/>
      <c r="B988" s="34" t="n"/>
      <c r="C988" s="34" t="n"/>
      <c r="D988" s="34" t="n"/>
      <c r="E988" s="34" t="n"/>
      <c r="F988" s="34" t="n"/>
      <c r="G988" s="34" t="n"/>
      <c r="H988" s="49" t="n"/>
      <c r="I988" s="48" t="n"/>
      <c r="J988" s="49" t="n"/>
      <c r="K988" s="49" t="n"/>
      <c r="L988" s="49" t="n"/>
      <c r="M988" s="51" t="n"/>
      <c r="N988" s="48" t="n"/>
    </row>
    <row r="989">
      <c r="A989" s="42" t="n"/>
      <c r="B989" s="34" t="n"/>
      <c r="C989" s="34" t="n"/>
      <c r="D989" s="34" t="n"/>
      <c r="E989" s="34" t="n"/>
      <c r="F989" s="34" t="n"/>
      <c r="G989" s="34" t="n"/>
      <c r="H989" s="49" t="n"/>
      <c r="I989" s="48" t="n"/>
      <c r="J989" s="49" t="n"/>
      <c r="K989" s="49" t="n"/>
      <c r="L989" s="49" t="n"/>
      <c r="M989" s="51" t="n"/>
      <c r="N989" s="48" t="n"/>
    </row>
    <row r="990">
      <c r="A990" s="42" t="n"/>
      <c r="B990" s="34" t="n"/>
      <c r="C990" s="34" t="n"/>
      <c r="D990" s="34" t="n"/>
      <c r="E990" s="34" t="n"/>
      <c r="F990" s="34" t="n"/>
      <c r="G990" s="34" t="n"/>
      <c r="H990" s="49" t="n"/>
      <c r="I990" s="48" t="n"/>
      <c r="J990" s="49" t="n"/>
      <c r="K990" s="49" t="n"/>
      <c r="L990" s="49" t="n"/>
      <c r="M990" s="51" t="n"/>
      <c r="N990" s="48" t="n"/>
    </row>
    <row r="991">
      <c r="A991" s="42" t="n"/>
      <c r="B991" s="34" t="n"/>
      <c r="C991" s="34" t="n"/>
      <c r="D991" s="34" t="n"/>
      <c r="E991" s="34" t="n"/>
      <c r="F991" s="34" t="n"/>
      <c r="G991" s="34" t="n"/>
      <c r="H991" s="49" t="n"/>
      <c r="I991" s="48" t="n"/>
      <c r="J991" s="49" t="n"/>
      <c r="K991" s="49" t="n"/>
      <c r="L991" s="49" t="n"/>
      <c r="M991" s="51" t="n"/>
      <c r="N991" s="48" t="n"/>
    </row>
    <row r="992">
      <c r="A992" s="42" t="n"/>
      <c r="B992" s="34" t="n"/>
      <c r="C992" s="34" t="n"/>
      <c r="D992" s="34" t="n"/>
      <c r="E992" s="34" t="n"/>
      <c r="F992" s="34" t="n"/>
      <c r="G992" s="34" t="n"/>
      <c r="H992" s="49" t="n"/>
      <c r="I992" s="48" t="n"/>
      <c r="J992" s="49" t="n"/>
      <c r="K992" s="49" t="n"/>
      <c r="L992" s="49" t="n"/>
      <c r="M992" s="51" t="n"/>
      <c r="N992" s="48" t="n"/>
    </row>
    <row r="993">
      <c r="A993" s="42" t="n"/>
      <c r="B993" s="34" t="n"/>
      <c r="C993" s="34" t="n"/>
      <c r="D993" s="34" t="n"/>
      <c r="E993" s="34" t="n"/>
      <c r="F993" s="34" t="n"/>
      <c r="G993" s="34" t="n"/>
      <c r="H993" s="49" t="n"/>
      <c r="I993" s="48" t="n"/>
      <c r="J993" s="49" t="n"/>
      <c r="K993" s="49" t="n"/>
      <c r="L993" s="49" t="n"/>
      <c r="M993" s="51" t="n"/>
      <c r="N993" s="48" t="n"/>
    </row>
    <row r="994">
      <c r="A994" s="42" t="n"/>
      <c r="B994" s="34" t="n"/>
      <c r="C994" s="34" t="n"/>
      <c r="D994" s="34" t="n"/>
      <c r="E994" s="34" t="n"/>
      <c r="F994" s="34" t="n"/>
      <c r="G994" s="34" t="n"/>
      <c r="H994" s="49" t="n"/>
      <c r="I994" s="48" t="n"/>
      <c r="J994" s="49" t="n"/>
      <c r="K994" s="49" t="n"/>
      <c r="L994" s="49" t="n"/>
      <c r="M994" s="51" t="n"/>
      <c r="N994" s="48" t="n"/>
    </row>
    <row r="995">
      <c r="A995" s="42" t="n"/>
      <c r="B995" s="34" t="n"/>
      <c r="C995" s="34" t="n"/>
      <c r="D995" s="34" t="n"/>
      <c r="E995" s="34" t="n"/>
      <c r="F995" s="34" t="n"/>
      <c r="G995" s="34" t="n"/>
      <c r="H995" s="49" t="n"/>
      <c r="I995" s="48" t="n"/>
      <c r="J995" s="49" t="n"/>
      <c r="K995" s="49" t="n"/>
      <c r="L995" s="49" t="n"/>
      <c r="M995" s="51" t="n"/>
      <c r="N995" s="48" t="n"/>
    </row>
    <row r="996">
      <c r="A996" s="42" t="n"/>
      <c r="B996" s="34" t="n"/>
      <c r="C996" s="34" t="n"/>
      <c r="D996" s="34" t="n"/>
      <c r="E996" s="34" t="n"/>
      <c r="F996" s="34" t="n"/>
      <c r="G996" s="34" t="n"/>
      <c r="H996" s="49" t="n"/>
      <c r="I996" s="48" t="n"/>
      <c r="J996" s="49" t="n"/>
      <c r="K996" s="49" t="n"/>
      <c r="L996" s="49" t="n"/>
      <c r="M996" s="51" t="n"/>
      <c r="N996" s="48" t="n"/>
    </row>
    <row r="997">
      <c r="A997" s="42" t="n"/>
      <c r="B997" s="34" t="n"/>
      <c r="C997" s="34" t="n"/>
      <c r="D997" s="34" t="n"/>
      <c r="E997" s="34" t="n"/>
      <c r="F997" s="34" t="n"/>
      <c r="G997" s="34" t="n"/>
      <c r="H997" s="49" t="n"/>
      <c r="I997" s="48" t="n"/>
      <c r="J997" s="49" t="n"/>
      <c r="K997" s="49" t="n"/>
      <c r="L997" s="49" t="n"/>
      <c r="M997" s="51" t="n"/>
      <c r="N997" s="48" t="n"/>
    </row>
    <row r="998">
      <c r="A998" s="42" t="n"/>
      <c r="B998" s="34" t="n"/>
      <c r="C998" s="34" t="n"/>
      <c r="D998" s="34" t="n"/>
      <c r="E998" s="34" t="n"/>
      <c r="F998" s="34" t="n"/>
      <c r="G998" s="34" t="n"/>
      <c r="H998" s="49" t="n"/>
      <c r="I998" s="48" t="n"/>
      <c r="J998" s="49" t="n"/>
      <c r="K998" s="49" t="n"/>
      <c r="L998" s="49" t="n"/>
      <c r="M998" s="51" t="n"/>
      <c r="N998" s="48" t="n"/>
    </row>
    <row r="999">
      <c r="A999" s="42" t="n"/>
      <c r="B999" s="34" t="n"/>
      <c r="C999" s="34" t="n"/>
      <c r="D999" s="34" t="n"/>
      <c r="E999" s="34" t="n"/>
      <c r="F999" s="34" t="n"/>
      <c r="G999" s="34" t="n"/>
      <c r="H999" s="49" t="n"/>
      <c r="I999" s="48" t="n"/>
      <c r="J999" s="49" t="n"/>
      <c r="K999" s="49" t="n"/>
      <c r="L999" s="49" t="n"/>
      <c r="M999" s="51" t="n"/>
      <c r="N999" s="48" t="n"/>
    </row>
    <row r="1000">
      <c r="A1000" s="42" t="n"/>
      <c r="B1000" s="34" t="n"/>
      <c r="C1000" s="34" t="n"/>
      <c r="D1000" s="34" t="n"/>
      <c r="E1000" s="34" t="n"/>
      <c r="F1000" s="34" t="n"/>
      <c r="G1000" s="34" t="n"/>
      <c r="H1000" s="49" t="n"/>
      <c r="I1000" s="48" t="n"/>
      <c r="J1000" s="49" t="n"/>
      <c r="K1000" s="49" t="n"/>
      <c r="L1000" s="49" t="n"/>
      <c r="M1000" s="51" t="n"/>
      <c r="N1000" s="48" t="n"/>
    </row>
    <row r="1001">
      <c r="A1001" s="42" t="n"/>
      <c r="B1001" s="34" t="n"/>
      <c r="C1001" s="34" t="n"/>
      <c r="D1001" s="34" t="n"/>
      <c r="E1001" s="34" t="n"/>
      <c r="F1001" s="34" t="n"/>
      <c r="G1001" s="34" t="n"/>
      <c r="H1001" s="49" t="n"/>
      <c r="I1001" s="48" t="n"/>
      <c r="J1001" s="49" t="n"/>
      <c r="K1001" s="49" t="n"/>
      <c r="L1001" s="49" t="n"/>
      <c r="M1001" s="51" t="n"/>
      <c r="N1001" s="48" t="n"/>
    </row>
    <row r="1002">
      <c r="A1002" s="42" t="n"/>
      <c r="B1002" s="34" t="n"/>
      <c r="C1002" s="34" t="n"/>
      <c r="D1002" s="34" t="n"/>
      <c r="E1002" s="34" t="n"/>
      <c r="F1002" s="34" t="n"/>
      <c r="G1002" s="34" t="n"/>
      <c r="H1002" s="49" t="n"/>
      <c r="I1002" s="48" t="n"/>
      <c r="J1002" s="49" t="n"/>
      <c r="K1002" s="49" t="n"/>
      <c r="L1002" s="49" t="n"/>
      <c r="M1002" s="51" t="n"/>
      <c r="N1002" s="48" t="n"/>
    </row>
    <row r="1003">
      <c r="A1003" s="42" t="n"/>
      <c r="B1003" s="34" t="n"/>
      <c r="C1003" s="34" t="n"/>
      <c r="D1003" s="34" t="n"/>
      <c r="E1003" s="34" t="n"/>
      <c r="F1003" s="34" t="n"/>
      <c r="G1003" s="34" t="n"/>
      <c r="H1003" s="49" t="n"/>
      <c r="I1003" s="48" t="n"/>
      <c r="J1003" s="49" t="n"/>
      <c r="K1003" s="49" t="n"/>
      <c r="L1003" s="49" t="n"/>
      <c r="M1003" s="51" t="n"/>
      <c r="N1003" s="48" t="n"/>
    </row>
    <row r="1004">
      <c r="A1004" s="42" t="n"/>
      <c r="B1004" s="34" t="n"/>
      <c r="C1004" s="34" t="n"/>
      <c r="D1004" s="34" t="n"/>
      <c r="E1004" s="34" t="n"/>
      <c r="F1004" s="34" t="n"/>
      <c r="G1004" s="34" t="n"/>
      <c r="H1004" s="49" t="n"/>
      <c r="I1004" s="48" t="n"/>
      <c r="J1004" s="49" t="n"/>
      <c r="K1004" s="49" t="n"/>
      <c r="L1004" s="49" t="n"/>
      <c r="M1004" s="51" t="n"/>
      <c r="N1004" s="48" t="n"/>
    </row>
    <row r="1005">
      <c r="A1005" s="42" t="n"/>
      <c r="B1005" s="34" t="n"/>
      <c r="C1005" s="34" t="n"/>
      <c r="D1005" s="34" t="n"/>
      <c r="E1005" s="34" t="n"/>
      <c r="F1005" s="34" t="n"/>
      <c r="G1005" s="34" t="n"/>
      <c r="H1005" s="49" t="n"/>
      <c r="I1005" s="48" t="n"/>
      <c r="J1005" s="49" t="n"/>
      <c r="K1005" s="49" t="n"/>
      <c r="L1005" s="49" t="n"/>
      <c r="M1005" s="51" t="n"/>
      <c r="N1005" s="48"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1000"/>
  <sheetViews>
    <sheetView workbookViewId="0">
      <selection activeCell="A1" sqref="A1"/>
    </sheetView>
  </sheetViews>
  <sheetFormatPr baseColWidth="8" defaultColWidth="12.63" defaultRowHeight="15.75" customHeight="1"/>
  <cols>
    <col width="35.88" customWidth="1" style="60" min="1" max="1"/>
    <col width="76.25" customWidth="1" style="60" min="4" max="4"/>
  </cols>
  <sheetData>
    <row r="1">
      <c r="A1" s="2" t="inlineStr">
        <is>
          <t>SKU (Item Code + Colour)</t>
        </is>
      </c>
      <c r="B1" s="2" t="inlineStr">
        <is>
          <t>DIVISION</t>
        </is>
      </c>
      <c r="C1" s="2" t="inlineStr">
        <is>
          <t>CATEGORY</t>
        </is>
      </c>
      <c r="D1" s="2" t="inlineStr">
        <is>
          <t>Key Hightlights</t>
        </is>
      </c>
    </row>
    <row r="2">
      <c r="A2" s="52" t="inlineStr">
        <is>
          <t>PGDRSS001578-LT. PINK MULTICOLOR</t>
        </is>
      </c>
      <c r="B2" s="53" t="inlineStr">
        <is>
          <t>APPAREL</t>
        </is>
      </c>
      <c r="C2" s="53" t="inlineStr">
        <is>
          <t>DRESS</t>
        </is>
      </c>
      <c r="D2" s="54" t="inlineStr">
        <is>
          <t>Classic Checks
Timeless plaid pattern with playful charm
Peter Pan Collar
Elegant neckline for a refined look
Flutter Sleeves
Layered ruffles add stylish movement
A-Line Silhouette
Flowy shape for graceful everyday wear</t>
        </is>
      </c>
    </row>
    <row r="3">
      <c r="A3" s="52" t="inlineStr">
        <is>
          <t>PGDRSA002266-WHITE MULTICOLOR</t>
        </is>
      </c>
      <c r="B3" s="53" t="inlineStr">
        <is>
          <t>APPAREL</t>
        </is>
      </c>
      <c r="C3" s="53" t="inlineStr">
        <is>
          <t>DRESS</t>
        </is>
      </c>
      <c r="D3" s="54" t="inlineStr">
        <is>
          <t>Floral Bloom
Delicate floral print with timeless charm
Lace Accents
Pretty trims add a refined touch
Easy Button Front
Designed for effortless dressing
Soft Comfort
Gentle fabric for all-day ease</t>
        </is>
      </c>
    </row>
    <row r="4">
      <c r="A4" s="52" t="inlineStr">
        <is>
          <t>PGLWLW002405-MAROON</t>
        </is>
      </c>
      <c r="B4" s="53" t="inlineStr">
        <is>
          <t>APPAREL</t>
        </is>
      </c>
      <c r="C4" s="53" t="inlineStr">
        <is>
          <t>TROUSERS</t>
        </is>
      </c>
      <c r="D4" s="54" t="inlineStr">
        <is>
          <t>Cargo Utility
Functional pockets for everyday essentials
Adjustable Waist
Drawstring fit for personalized comfort
Jogger Cuffs
Elastic hems for a secure fit
Soft Touch Fabric
Designed for all-day comfort</t>
        </is>
      </c>
    </row>
    <row r="5">
      <c r="A5" s="52" t="inlineStr">
        <is>
          <t>PBTROW002452-BLACK</t>
        </is>
      </c>
      <c r="B5" s="53" t="inlineStr">
        <is>
          <t>APPAREL</t>
        </is>
      </c>
      <c r="C5" s="53" t="inlineStr">
        <is>
          <t>JOGGERS</t>
        </is>
      </c>
      <c r="D5" s="54" t="inlineStr">
        <is>
          <t>Elastic Waistband
Secure fit with easy comfort
Cuffed Hem
Keeps the fit neat and stylish
Relaxed Comfort
Designed for unrestricted movement
Utility Pockets
Extra storage for everyday essentials</t>
        </is>
      </c>
    </row>
    <row r="6">
      <c r="A6" s="52" t="inlineStr">
        <is>
          <t>PBTROW002452-DK. BEIGE</t>
        </is>
      </c>
      <c r="B6" s="53" t="inlineStr">
        <is>
          <t>APPAREL</t>
        </is>
      </c>
      <c r="C6" s="53" t="inlineStr">
        <is>
          <t>JOGGERS</t>
        </is>
      </c>
      <c r="D6" s="54" t="inlineStr">
        <is>
          <t>Elastic Waistband
Secure fit with easy comfort
Cuffed Hem
Keeps the fit neat and stylish
Relaxed Comfort
Designed for unrestricted movement
Utility Pockets
Extra storage for everyday essentials</t>
        </is>
      </c>
    </row>
    <row r="7">
      <c r="A7" s="52" t="inlineStr">
        <is>
          <t>PBTROW002451-OLIVE</t>
        </is>
      </c>
      <c r="B7" s="53" t="inlineStr">
        <is>
          <t>APPAREL</t>
        </is>
      </c>
      <c r="C7" s="55" t="inlineStr">
        <is>
          <t>TROUSERS</t>
        </is>
      </c>
      <c r="D7" s="54" t="inlineStr">
        <is>
          <t>Wide-Leg Silhouette
Effortless style with all-day comfort
Elastic Waistband
Flexible fit for everyday ease
Relaxed Straight Fit
Comfortable movement without restriction
Durable Twill Fabric
Built for active everyday wear</t>
        </is>
      </c>
    </row>
    <row r="8">
      <c r="A8" s="52" t="inlineStr">
        <is>
          <t>PGSKTA002262-PINK</t>
        </is>
      </c>
      <c r="B8" s="53" t="inlineStr">
        <is>
          <t>APPAREL</t>
        </is>
      </c>
      <c r="C8" s="53" t="inlineStr">
        <is>
          <t>SKIRT</t>
        </is>
      </c>
      <c r="D8" s="54" t="inlineStr">
        <is>
          <t>Wide-Leg Silhouette
Effortless style with all-day comfort
Elastic Waistband
Flexible fit for everyday ease
Relaxed Straight Fit
Comfortable movement without restriction
Durable Twill Fabric
Built for active everyday wear</t>
        </is>
      </c>
    </row>
    <row r="9">
      <c r="A9" s="52" t="inlineStr">
        <is>
          <t>PGSKTA002262-MAROON</t>
        </is>
      </c>
      <c r="B9" s="53" t="inlineStr">
        <is>
          <t>APPAREL</t>
        </is>
      </c>
      <c r="C9" s="53" t="inlineStr">
        <is>
          <t>SKIRT</t>
        </is>
      </c>
      <c r="D9" s="54" t="inlineStr">
        <is>
          <t>Wide-Leg Silhouette
Effortless style with all-day comfort
Elastic Waistband
Flexible fit for everyday ease
Relaxed Straight Fit
Comfortable movement without restriction
Durable Twill Fabric
Built for active everyday wear</t>
        </is>
      </c>
    </row>
    <row r="10">
      <c r="A10" s="52" t="inlineStr">
        <is>
          <t>PBDNBA002215-LT. BLUE</t>
        </is>
      </c>
      <c r="B10" s="53" t="inlineStr">
        <is>
          <t>APPAREL</t>
        </is>
      </c>
      <c r="C10" s="53" t="inlineStr">
        <is>
          <t>SHORTS</t>
        </is>
      </c>
      <c r="D10" s="56" t="n"/>
    </row>
    <row r="11">
      <c r="A11" s="52" t="inlineStr">
        <is>
          <t>PBDNHA002220-MID BLUE</t>
        </is>
      </c>
      <c r="B11" s="53" t="inlineStr">
        <is>
          <t>APPAREL</t>
        </is>
      </c>
      <c r="C11" s="53" t="inlineStr">
        <is>
          <t>SHORTS</t>
        </is>
      </c>
      <c r="D11" s="56" t="n"/>
    </row>
    <row r="12">
      <c r="A12" s="52" t="inlineStr">
        <is>
          <t>PBDNHA002219-BLUE</t>
        </is>
      </c>
      <c r="B12" s="53" t="inlineStr">
        <is>
          <t>APPAREL</t>
        </is>
      </c>
      <c r="C12" s="53" t="inlineStr">
        <is>
          <t>SHORTS</t>
        </is>
      </c>
      <c r="D12" s="56" t="n"/>
    </row>
    <row r="13">
      <c r="A13" s="53" t="inlineStr">
        <is>
          <t>PBLWLW001853-BLACK</t>
        </is>
      </c>
      <c r="B13" s="53" t="inlineStr">
        <is>
          <t>APPAREL</t>
        </is>
      </c>
      <c r="C13" s="53" t="inlineStr">
        <is>
          <t>TRACK PANTS</t>
        </is>
      </c>
      <c r="D13" s="56" t="n"/>
    </row>
    <row r="14">
      <c r="A14" s="53" t="inlineStr">
        <is>
          <t>PBTROS000160-GREY</t>
        </is>
      </c>
      <c r="B14" s="53" t="inlineStr">
        <is>
          <t>APPAREL</t>
        </is>
      </c>
      <c r="C14" s="53" t="inlineStr">
        <is>
          <t>TROUSERS</t>
        </is>
      </c>
      <c r="D14" s="56" t="n"/>
    </row>
    <row r="15">
      <c r="A15" s="55" t="n"/>
      <c r="B15" s="59" t="n"/>
      <c r="C15" s="59" t="n"/>
      <c r="D15" s="56" t="n"/>
    </row>
    <row r="16">
      <c r="A16" s="55" t="n"/>
      <c r="B16" s="59" t="n"/>
      <c r="C16" s="59" t="n"/>
      <c r="D16" s="56" t="n"/>
    </row>
    <row r="17">
      <c r="A17" s="55" t="n"/>
      <c r="B17" s="59" t="n"/>
      <c r="C17" s="59" t="n"/>
      <c r="D17" s="56" t="n"/>
    </row>
    <row r="18">
      <c r="A18" s="55" t="n"/>
      <c r="B18" s="59" t="n"/>
      <c r="C18" s="59" t="n"/>
      <c r="D18" s="56" t="n"/>
    </row>
    <row r="19">
      <c r="A19" s="55" t="n"/>
      <c r="B19" s="59" t="n"/>
      <c r="C19" s="59" t="n"/>
      <c r="D19" s="56" t="n"/>
    </row>
    <row r="20">
      <c r="A20" s="56" t="n"/>
      <c r="B20" s="58" t="n"/>
      <c r="C20" s="59" t="n"/>
      <c r="D20" s="56" t="n"/>
    </row>
    <row r="21">
      <c r="A21" s="56" t="n"/>
      <c r="B21" s="58" t="n"/>
      <c r="C21" s="59" t="n"/>
      <c r="D21" s="56" t="n"/>
    </row>
    <row r="22">
      <c r="A22" s="56" t="n"/>
      <c r="B22" s="58" t="n"/>
      <c r="C22" s="59" t="n"/>
      <c r="D22" s="56" t="n"/>
    </row>
    <row r="23">
      <c r="A23" s="56" t="n"/>
      <c r="B23" s="58" t="n"/>
      <c r="C23" s="59" t="n"/>
      <c r="D23" s="56" t="n"/>
    </row>
    <row r="24">
      <c r="A24" s="56" t="n"/>
      <c r="B24" s="58" t="n"/>
      <c r="C24" s="59" t="n"/>
      <c r="D24" s="56" t="n"/>
    </row>
    <row r="25">
      <c r="A25" s="56" t="n"/>
      <c r="B25" s="58" t="n"/>
      <c r="C25" s="59" t="n"/>
      <c r="D25" s="56" t="n"/>
    </row>
    <row r="26">
      <c r="A26" s="56" t="n"/>
      <c r="B26" s="58" t="n"/>
      <c r="C26" s="59" t="n"/>
      <c r="D26" s="56" t="n"/>
    </row>
    <row r="27">
      <c r="A27" s="56" t="n"/>
      <c r="B27" s="58" t="n"/>
      <c r="C27" s="59" t="n"/>
      <c r="D27" s="56" t="n"/>
    </row>
    <row r="28">
      <c r="A28" s="56" t="n"/>
      <c r="B28" s="58" t="n"/>
      <c r="C28" s="59" t="n"/>
      <c r="D28" s="56" t="n"/>
    </row>
    <row r="29">
      <c r="A29" s="56" t="n"/>
      <c r="B29" s="58" t="n"/>
      <c r="C29" s="59" t="n"/>
      <c r="D29" s="56" t="n"/>
    </row>
    <row r="30">
      <c r="A30" s="56" t="n"/>
      <c r="B30" s="58" t="n"/>
      <c r="C30" s="59" t="n"/>
      <c r="D30" s="56" t="n"/>
    </row>
    <row r="31">
      <c r="A31" s="56" t="n"/>
      <c r="B31" s="58" t="n"/>
      <c r="C31" s="59" t="n"/>
      <c r="D31" s="56" t="n"/>
    </row>
    <row r="32">
      <c r="A32" s="56" t="n"/>
      <c r="B32" s="58" t="n"/>
      <c r="C32" s="59" t="n"/>
      <c r="D32" s="56" t="n"/>
    </row>
    <row r="33">
      <c r="A33" s="56" t="n"/>
      <c r="B33" s="58" t="n"/>
      <c r="C33" s="59" t="n"/>
      <c r="D33" s="56" t="n"/>
    </row>
    <row r="34">
      <c r="A34" s="56" t="n"/>
      <c r="B34" s="58" t="n"/>
      <c r="C34" s="59" t="n"/>
      <c r="D34" s="56" t="n"/>
    </row>
    <row r="35">
      <c r="A35" s="56" t="n"/>
      <c r="B35" s="58" t="n"/>
      <c r="C35" s="59" t="n"/>
      <c r="D35" s="56" t="n"/>
    </row>
    <row r="36">
      <c r="A36" s="56" t="n"/>
      <c r="B36" s="58" t="n"/>
      <c r="C36" s="59" t="n"/>
      <c r="D36" s="56" t="n"/>
    </row>
    <row r="37">
      <c r="A37" s="56" t="n"/>
      <c r="B37" s="58" t="n"/>
      <c r="C37" s="59" t="n"/>
      <c r="D37" s="56" t="n"/>
    </row>
    <row r="38">
      <c r="A38" s="56" t="n"/>
      <c r="B38" s="58" t="n"/>
      <c r="C38" s="59" t="n"/>
      <c r="D38" s="56" t="n"/>
    </row>
    <row r="39">
      <c r="A39" s="56" t="n"/>
      <c r="B39" s="58" t="n"/>
      <c r="C39" s="59" t="n"/>
      <c r="D39" s="56" t="n"/>
    </row>
    <row r="40">
      <c r="A40" s="56" t="n"/>
      <c r="B40" s="58" t="n"/>
      <c r="C40" s="59" t="n"/>
      <c r="D40" s="56" t="n"/>
    </row>
    <row r="41">
      <c r="A41" s="56" t="n"/>
      <c r="B41" s="58" t="n"/>
      <c r="C41" s="59" t="n"/>
      <c r="D41" s="56" t="n"/>
    </row>
    <row r="42">
      <c r="A42" s="56" t="n"/>
      <c r="B42" s="58" t="n"/>
      <c r="C42" s="59" t="n"/>
      <c r="D42" s="56" t="n"/>
    </row>
    <row r="43">
      <c r="A43" s="56" t="n"/>
      <c r="B43" s="58" t="n"/>
      <c r="C43" s="59" t="n"/>
      <c r="D43" s="56" t="n"/>
    </row>
    <row r="44">
      <c r="A44" s="56" t="n"/>
      <c r="B44" s="58" t="n"/>
      <c r="C44" s="59" t="n"/>
      <c r="D44" s="56" t="n"/>
    </row>
    <row r="45">
      <c r="A45" s="56" t="n"/>
      <c r="B45" s="58" t="n"/>
      <c r="C45" s="59" t="n"/>
      <c r="D45" s="56" t="n"/>
    </row>
    <row r="46">
      <c r="A46" s="56" t="n"/>
      <c r="B46" s="58" t="n"/>
      <c r="C46" s="59" t="n"/>
      <c r="D46" s="56" t="n"/>
    </row>
    <row r="47">
      <c r="A47" s="56" t="n"/>
      <c r="B47" s="58" t="n"/>
      <c r="C47" s="59" t="n"/>
      <c r="D47" s="56" t="n"/>
    </row>
    <row r="48">
      <c r="A48" s="56" t="n"/>
      <c r="B48" s="58" t="n"/>
      <c r="C48" s="59" t="n"/>
      <c r="D48" s="56" t="n"/>
    </row>
    <row r="49">
      <c r="A49" s="56" t="n"/>
      <c r="B49" s="58" t="n"/>
      <c r="C49" s="59" t="n"/>
      <c r="D49" s="56" t="n"/>
    </row>
    <row r="50">
      <c r="A50" s="56" t="n"/>
      <c r="B50" s="58" t="n"/>
      <c r="C50" s="59" t="n"/>
      <c r="D50" s="56" t="n"/>
    </row>
    <row r="51">
      <c r="A51" s="56" t="n"/>
      <c r="B51" s="58" t="n"/>
      <c r="C51" s="59" t="n"/>
      <c r="D51" s="56" t="n"/>
    </row>
    <row r="52">
      <c r="A52" s="56" t="n"/>
      <c r="B52" s="58" t="n"/>
      <c r="C52" s="59" t="n"/>
      <c r="D52" s="56" t="n"/>
    </row>
    <row r="53">
      <c r="A53" s="56" t="n"/>
      <c r="B53" s="58" t="n"/>
      <c r="C53" s="59" t="n"/>
      <c r="D53" s="56" t="n"/>
    </row>
    <row r="54">
      <c r="A54" s="56" t="n"/>
      <c r="B54" s="58" t="n"/>
      <c r="C54" s="59" t="n"/>
      <c r="D54" s="56" t="n"/>
    </row>
    <row r="55">
      <c r="A55" s="56" t="n"/>
      <c r="B55" s="58" t="n"/>
      <c r="C55" s="59" t="n"/>
      <c r="D55" s="56" t="n"/>
    </row>
    <row r="56">
      <c r="A56" s="56" t="n"/>
      <c r="B56" s="58" t="n"/>
      <c r="C56" s="59" t="n"/>
      <c r="D56" s="56" t="n"/>
    </row>
    <row r="57">
      <c r="A57" s="56" t="n"/>
      <c r="B57" s="58" t="n"/>
      <c r="C57" s="59" t="n"/>
      <c r="D57" s="56" t="n"/>
    </row>
    <row r="58">
      <c r="A58" s="56" t="n"/>
      <c r="B58" s="58" t="n"/>
      <c r="C58" s="59" t="n"/>
      <c r="D58" s="56" t="n"/>
    </row>
    <row r="59">
      <c r="A59" s="56" t="n"/>
      <c r="B59" s="58" t="n"/>
      <c r="C59" s="59" t="n"/>
      <c r="D59" s="56" t="n"/>
    </row>
    <row r="60">
      <c r="A60" s="56" t="n"/>
      <c r="B60" s="58" t="n"/>
      <c r="C60" s="59" t="n"/>
      <c r="D60" s="56" t="n"/>
    </row>
    <row r="61">
      <c r="A61" s="56" t="n"/>
      <c r="B61" s="58" t="n"/>
      <c r="C61" s="59" t="n"/>
      <c r="D61" s="56" t="n"/>
    </row>
    <row r="62">
      <c r="A62" s="56" t="n"/>
      <c r="B62" s="58" t="n"/>
      <c r="C62" s="59" t="n"/>
      <c r="D62" s="56" t="n"/>
    </row>
    <row r="63">
      <c r="A63" s="56" t="n"/>
      <c r="B63" s="58" t="n"/>
      <c r="C63" s="59" t="n"/>
      <c r="D63" s="56" t="n"/>
    </row>
    <row r="64">
      <c r="A64" s="56" t="n"/>
      <c r="B64" s="58" t="n"/>
      <c r="C64" s="59" t="n"/>
      <c r="D64" s="56" t="n"/>
    </row>
    <row r="65">
      <c r="A65" s="56" t="n"/>
      <c r="B65" s="58" t="n"/>
      <c r="C65" s="59" t="n"/>
      <c r="D65" s="56" t="n"/>
    </row>
    <row r="66">
      <c r="A66" s="56" t="n"/>
      <c r="B66" s="58" t="n"/>
      <c r="C66" s="59" t="n"/>
      <c r="D66" s="56" t="n"/>
    </row>
    <row r="67">
      <c r="A67" s="56" t="n"/>
      <c r="B67" s="58" t="n"/>
      <c r="C67" s="59" t="n"/>
      <c r="D67" s="56" t="n"/>
    </row>
    <row r="68">
      <c r="A68" s="56" t="n"/>
      <c r="B68" s="58" t="n"/>
      <c r="C68" s="59" t="n"/>
      <c r="D68" s="56" t="n"/>
    </row>
    <row r="69">
      <c r="A69" s="56" t="n"/>
      <c r="B69" s="58" t="n"/>
      <c r="C69" s="59" t="n"/>
      <c r="D69" s="56" t="n"/>
    </row>
    <row r="70">
      <c r="A70" s="56" t="n"/>
      <c r="B70" s="58" t="n"/>
      <c r="C70" s="59" t="n"/>
      <c r="D70" s="56" t="n"/>
    </row>
    <row r="71">
      <c r="A71" s="56" t="n"/>
      <c r="B71" s="58" t="n"/>
      <c r="C71" s="59" t="n"/>
      <c r="D71" s="56" t="n"/>
    </row>
    <row r="72">
      <c r="A72" s="56" t="n"/>
      <c r="B72" s="58" t="n"/>
      <c r="C72" s="59" t="n"/>
      <c r="D72" s="56" t="n"/>
    </row>
    <row r="73">
      <c r="A73" s="56" t="n"/>
      <c r="B73" s="58" t="n"/>
      <c r="C73" s="59" t="n"/>
      <c r="D73" s="56" t="n"/>
    </row>
    <row r="74">
      <c r="A74" s="56" t="n"/>
      <c r="B74" s="58" t="n"/>
      <c r="C74" s="59" t="n"/>
      <c r="D74" s="56" t="n"/>
    </row>
    <row r="75">
      <c r="A75" s="56" t="n"/>
      <c r="B75" s="58" t="n"/>
      <c r="C75" s="59" t="n"/>
      <c r="D75" s="56" t="n"/>
    </row>
    <row r="76">
      <c r="A76" s="56" t="n"/>
      <c r="B76" s="58" t="n"/>
      <c r="C76" s="59" t="n"/>
      <c r="D76" s="56" t="n"/>
    </row>
    <row r="77">
      <c r="A77" s="56" t="n"/>
      <c r="B77" s="58" t="n"/>
      <c r="C77" s="59" t="n"/>
      <c r="D77" s="56" t="n"/>
    </row>
    <row r="78">
      <c r="A78" s="56" t="n"/>
      <c r="B78" s="58" t="n"/>
      <c r="C78" s="59" t="n"/>
      <c r="D78" s="56" t="n"/>
    </row>
    <row r="79">
      <c r="A79" s="56" t="n"/>
      <c r="B79" s="58" t="n"/>
      <c r="C79" s="59" t="n"/>
      <c r="D79" s="56" t="n"/>
    </row>
    <row r="80">
      <c r="A80" s="56" t="n"/>
      <c r="B80" s="58" t="n"/>
      <c r="C80" s="59" t="n"/>
      <c r="D80" s="56" t="n"/>
    </row>
    <row r="81">
      <c r="A81" s="56" t="n"/>
      <c r="B81" s="58" t="n"/>
      <c r="C81" s="59" t="n"/>
      <c r="D81" s="56" t="n"/>
    </row>
    <row r="82">
      <c r="A82" s="56" t="n"/>
      <c r="B82" s="58" t="n"/>
      <c r="C82" s="59" t="n"/>
      <c r="D82" s="56" t="n"/>
    </row>
    <row r="83">
      <c r="A83" s="56" t="n"/>
      <c r="B83" s="58" t="n"/>
      <c r="C83" s="59" t="n"/>
      <c r="D83" s="56" t="n"/>
    </row>
    <row r="84">
      <c r="A84" s="56" t="n"/>
      <c r="B84" s="58" t="n"/>
      <c r="C84" s="59" t="n"/>
      <c r="D84" s="56" t="n"/>
    </row>
    <row r="85">
      <c r="A85" s="56" t="n"/>
      <c r="B85" s="58" t="n"/>
      <c r="C85" s="59" t="n"/>
      <c r="D85" s="56" t="n"/>
    </row>
    <row r="86">
      <c r="A86" s="56" t="n"/>
      <c r="B86" s="58" t="n"/>
      <c r="C86" s="59" t="n"/>
      <c r="D86" s="56" t="n"/>
    </row>
    <row r="87">
      <c r="A87" s="56" t="n"/>
      <c r="B87" s="58" t="n"/>
      <c r="C87" s="59" t="n"/>
      <c r="D87" s="56" t="n"/>
    </row>
    <row r="88">
      <c r="A88" s="56" t="n"/>
      <c r="B88" s="58" t="n"/>
      <c r="C88" s="59" t="n"/>
      <c r="D88" s="56" t="n"/>
    </row>
    <row r="89">
      <c r="A89" s="56" t="n"/>
      <c r="B89" s="58" t="n"/>
      <c r="C89" s="59" t="n"/>
      <c r="D89" s="56" t="n"/>
    </row>
    <row r="90">
      <c r="A90" s="56" t="n"/>
      <c r="B90" s="58" t="n"/>
      <c r="C90" s="59" t="n"/>
      <c r="D90" s="56" t="n"/>
    </row>
    <row r="91">
      <c r="A91" s="56" t="n"/>
      <c r="B91" s="58" t="n"/>
      <c r="C91" s="59" t="n"/>
      <c r="D91" s="56" t="n"/>
    </row>
    <row r="92">
      <c r="A92" s="56" t="n"/>
      <c r="B92" s="58" t="n"/>
      <c r="C92" s="59" t="n"/>
      <c r="D92" s="56" t="n"/>
    </row>
    <row r="93">
      <c r="A93" s="56" t="n"/>
      <c r="B93" s="58" t="n"/>
      <c r="C93" s="59" t="n"/>
      <c r="D93" s="56" t="n"/>
    </row>
    <row r="94">
      <c r="A94" s="56" t="n"/>
      <c r="B94" s="58" t="n"/>
      <c r="C94" s="59" t="n"/>
      <c r="D94" s="56" t="n"/>
    </row>
    <row r="95">
      <c r="A95" s="56" t="n"/>
      <c r="B95" s="58" t="n"/>
      <c r="C95" s="59" t="n"/>
      <c r="D95" s="56" t="n"/>
    </row>
    <row r="96">
      <c r="A96" s="56" t="n"/>
      <c r="B96" s="58" t="n"/>
      <c r="C96" s="59" t="n"/>
      <c r="D96" s="56" t="n"/>
    </row>
    <row r="97">
      <c r="A97" s="56" t="n"/>
      <c r="B97" s="58" t="n"/>
      <c r="C97" s="59" t="n"/>
      <c r="D97" s="56" t="n"/>
    </row>
    <row r="98">
      <c r="A98" s="56" t="n"/>
      <c r="B98" s="58" t="n"/>
      <c r="C98" s="59" t="n"/>
      <c r="D98" s="56" t="n"/>
    </row>
    <row r="99">
      <c r="A99" s="56" t="n"/>
      <c r="B99" s="58" t="n"/>
      <c r="C99" s="59" t="n"/>
      <c r="D99" s="56" t="n"/>
    </row>
    <row r="100">
      <c r="A100" s="56" t="n"/>
      <c r="B100" s="58" t="n"/>
      <c r="C100" s="59" t="n"/>
      <c r="D100" s="56" t="n"/>
    </row>
    <row r="101">
      <c r="A101" s="56" t="n"/>
      <c r="B101" s="58" t="n"/>
      <c r="C101" s="59" t="n"/>
      <c r="D101" s="56" t="n"/>
    </row>
    <row r="102">
      <c r="A102" s="56" t="n"/>
      <c r="B102" s="58" t="n"/>
      <c r="C102" s="59" t="n"/>
      <c r="D102" s="56" t="n"/>
    </row>
    <row r="103">
      <c r="A103" s="56" t="n"/>
      <c r="B103" s="58" t="n"/>
      <c r="C103" s="59" t="n"/>
      <c r="D103" s="56" t="n"/>
    </row>
    <row r="104">
      <c r="A104" s="56" t="n"/>
      <c r="B104" s="58" t="n"/>
      <c r="C104" s="59" t="n"/>
      <c r="D104" s="56" t="n"/>
    </row>
    <row r="105">
      <c r="A105" s="56" t="n"/>
      <c r="B105" s="58" t="n"/>
      <c r="C105" s="59" t="n"/>
      <c r="D105" s="56" t="n"/>
    </row>
    <row r="106">
      <c r="A106" s="56" t="n"/>
      <c r="B106" s="58" t="n"/>
      <c r="C106" s="59" t="n"/>
      <c r="D106" s="56" t="n"/>
    </row>
    <row r="107">
      <c r="A107" s="56" t="n"/>
      <c r="B107" s="58" t="n"/>
      <c r="C107" s="59" t="n"/>
      <c r="D107" s="56" t="n"/>
    </row>
    <row r="108">
      <c r="A108" s="56" t="n"/>
      <c r="B108" s="58" t="n"/>
      <c r="C108" s="59" t="n"/>
      <c r="D108" s="56" t="n"/>
    </row>
    <row r="109">
      <c r="A109" s="56" t="n"/>
      <c r="B109" s="58" t="n"/>
      <c r="C109" s="59" t="n"/>
      <c r="D109" s="56" t="n"/>
    </row>
    <row r="110">
      <c r="A110" s="56" t="n"/>
      <c r="B110" s="58" t="n"/>
      <c r="C110" s="59" t="n"/>
      <c r="D110" s="56" t="n"/>
    </row>
    <row r="111">
      <c r="A111" s="56" t="n"/>
      <c r="B111" s="58" t="n"/>
      <c r="C111" s="59" t="n"/>
      <c r="D111" s="56" t="n"/>
    </row>
    <row r="112">
      <c r="A112" s="56" t="n"/>
      <c r="B112" s="58" t="n"/>
      <c r="C112" s="59" t="n"/>
      <c r="D112" s="56" t="n"/>
    </row>
    <row r="113">
      <c r="A113" s="56" t="n"/>
      <c r="B113" s="58" t="n"/>
      <c r="C113" s="59" t="n"/>
      <c r="D113" s="56" t="n"/>
    </row>
    <row r="114">
      <c r="A114" s="56" t="n"/>
      <c r="B114" s="58" t="n"/>
      <c r="C114" s="59" t="n"/>
      <c r="D114" s="56" t="n"/>
    </row>
    <row r="115">
      <c r="A115" s="56" t="n"/>
      <c r="B115" s="58" t="n"/>
      <c r="C115" s="59" t="n"/>
      <c r="D115" s="56" t="n"/>
    </row>
    <row r="116">
      <c r="A116" s="56" t="n"/>
      <c r="B116" s="58" t="n"/>
      <c r="C116" s="59" t="n"/>
      <c r="D116" s="56" t="n"/>
    </row>
    <row r="117">
      <c r="A117" s="56" t="n"/>
      <c r="B117" s="58" t="n"/>
      <c r="C117" s="59" t="n"/>
      <c r="D117" s="56" t="n"/>
    </row>
    <row r="118">
      <c r="A118" s="56" t="n"/>
      <c r="B118" s="58" t="n"/>
      <c r="C118" s="59" t="n"/>
      <c r="D118" s="56" t="n"/>
    </row>
    <row r="119">
      <c r="A119" s="56" t="n"/>
      <c r="B119" s="58" t="n"/>
      <c r="C119" s="59" t="n"/>
      <c r="D119" s="56" t="n"/>
    </row>
    <row r="120">
      <c r="A120" s="56" t="n"/>
      <c r="B120" s="58" t="n"/>
      <c r="C120" s="59" t="n"/>
      <c r="D120" s="56" t="n"/>
    </row>
    <row r="121">
      <c r="A121" s="56" t="n"/>
      <c r="B121" s="58" t="n"/>
      <c r="C121" s="59" t="n"/>
      <c r="D121" s="56" t="n"/>
    </row>
    <row r="122">
      <c r="A122" s="56" t="n"/>
      <c r="B122" s="58" t="n"/>
      <c r="C122" s="59" t="n"/>
      <c r="D122" s="56" t="n"/>
    </row>
    <row r="123">
      <c r="A123" s="56" t="n"/>
      <c r="B123" s="58" t="n"/>
      <c r="C123" s="59" t="n"/>
      <c r="D123" s="56" t="n"/>
    </row>
    <row r="124">
      <c r="A124" s="56" t="n"/>
      <c r="B124" s="58" t="n"/>
      <c r="C124" s="59" t="n"/>
      <c r="D124" s="56" t="n"/>
    </row>
    <row r="125">
      <c r="A125" s="56" t="n"/>
      <c r="B125" s="58" t="n"/>
      <c r="C125" s="59" t="n"/>
      <c r="D125" s="56" t="n"/>
    </row>
    <row r="126">
      <c r="A126" s="56" t="n"/>
      <c r="B126" s="58" t="n"/>
      <c r="C126" s="59" t="n"/>
      <c r="D126" s="56" t="n"/>
    </row>
    <row r="127">
      <c r="A127" s="56" t="n"/>
      <c r="B127" s="58" t="n"/>
      <c r="C127" s="59" t="n"/>
      <c r="D127" s="56" t="n"/>
    </row>
    <row r="128">
      <c r="A128" s="56" t="n"/>
      <c r="B128" s="58" t="n"/>
      <c r="C128" s="59" t="n"/>
      <c r="D128" s="56" t="n"/>
    </row>
    <row r="129">
      <c r="A129" s="56" t="n"/>
      <c r="B129" s="58" t="n"/>
      <c r="C129" s="59" t="n"/>
      <c r="D129" s="56" t="n"/>
    </row>
    <row r="130">
      <c r="A130" s="56" t="n"/>
      <c r="B130" s="58" t="n"/>
      <c r="C130" s="59" t="n"/>
      <c r="D130" s="56" t="n"/>
    </row>
    <row r="131">
      <c r="A131" s="56" t="n"/>
      <c r="B131" s="58" t="n"/>
      <c r="C131" s="59" t="n"/>
      <c r="D131" s="56" t="n"/>
    </row>
    <row r="132">
      <c r="A132" s="56" t="n"/>
      <c r="B132" s="58" t="n"/>
      <c r="C132" s="59" t="n"/>
      <c r="D132" s="56" t="n"/>
    </row>
    <row r="133">
      <c r="A133" s="56" t="n"/>
      <c r="B133" s="58" t="n"/>
      <c r="C133" s="59" t="n"/>
      <c r="D133" s="56" t="n"/>
    </row>
    <row r="134">
      <c r="A134" s="56" t="n"/>
      <c r="B134" s="58" t="n"/>
      <c r="C134" s="59" t="n"/>
      <c r="D134" s="56" t="n"/>
    </row>
    <row r="135">
      <c r="A135" s="56" t="n"/>
      <c r="B135" s="58" t="n"/>
      <c r="C135" s="59" t="n"/>
      <c r="D135" s="56" t="n"/>
    </row>
    <row r="136">
      <c r="A136" s="56" t="n"/>
      <c r="B136" s="58" t="n"/>
      <c r="C136" s="59" t="n"/>
      <c r="D136" s="56" t="n"/>
    </row>
    <row r="137">
      <c r="A137" s="56" t="n"/>
      <c r="B137" s="58" t="n"/>
      <c r="C137" s="59" t="n"/>
      <c r="D137" s="56" t="n"/>
    </row>
    <row r="138">
      <c r="A138" s="56" t="n"/>
      <c r="B138" s="58" t="n"/>
      <c r="C138" s="59" t="n"/>
      <c r="D138" s="56" t="n"/>
    </row>
    <row r="139">
      <c r="A139" s="56" t="n"/>
      <c r="B139" s="58" t="n"/>
      <c r="C139" s="59" t="n"/>
      <c r="D139" s="56" t="n"/>
    </row>
    <row r="140">
      <c r="A140" s="56" t="n"/>
      <c r="B140" s="58" t="n"/>
      <c r="C140" s="59" t="n"/>
      <c r="D140" s="56" t="n"/>
    </row>
    <row r="141">
      <c r="A141" s="56" t="n"/>
      <c r="B141" s="58" t="n"/>
      <c r="C141" s="59" t="n"/>
      <c r="D141" s="56" t="n"/>
    </row>
    <row r="142">
      <c r="A142" s="56" t="n"/>
      <c r="B142" s="58" t="n"/>
      <c r="C142" s="59" t="n"/>
      <c r="D142" s="56" t="n"/>
    </row>
    <row r="143">
      <c r="A143" s="56" t="n"/>
      <c r="B143" s="58" t="n"/>
      <c r="C143" s="59" t="n"/>
      <c r="D143" s="56" t="n"/>
    </row>
    <row r="144">
      <c r="A144" s="56" t="n"/>
      <c r="B144" s="58" t="n"/>
      <c r="C144" s="59" t="n"/>
      <c r="D144" s="56" t="n"/>
    </row>
    <row r="145">
      <c r="A145" s="56" t="n"/>
      <c r="B145" s="58" t="n"/>
      <c r="C145" s="59" t="n"/>
      <c r="D145" s="56" t="n"/>
    </row>
    <row r="146">
      <c r="A146" s="56" t="n"/>
      <c r="B146" s="58" t="n"/>
      <c r="C146" s="59" t="n"/>
      <c r="D146" s="56" t="n"/>
    </row>
    <row r="147">
      <c r="A147" s="56" t="n"/>
      <c r="B147" s="58" t="n"/>
      <c r="C147" s="59" t="n"/>
      <c r="D147" s="56" t="n"/>
    </row>
    <row r="148">
      <c r="A148" s="56" t="n"/>
      <c r="B148" s="58" t="n"/>
      <c r="C148" s="59" t="n"/>
      <c r="D148" s="56" t="n"/>
    </row>
    <row r="149">
      <c r="A149" s="56" t="n"/>
      <c r="B149" s="58" t="n"/>
      <c r="C149" s="59" t="n"/>
      <c r="D149" s="56" t="n"/>
    </row>
    <row r="150">
      <c r="A150" s="56" t="n"/>
      <c r="B150" s="58" t="n"/>
      <c r="C150" s="59" t="n"/>
      <c r="D150" s="56" t="n"/>
    </row>
    <row r="151">
      <c r="A151" s="56" t="n"/>
      <c r="B151" s="58" t="n"/>
      <c r="C151" s="59" t="n"/>
      <c r="D151" s="56" t="n"/>
    </row>
    <row r="152">
      <c r="A152" s="56" t="n"/>
      <c r="B152" s="58" t="n"/>
      <c r="C152" s="59" t="n"/>
      <c r="D152" s="56" t="n"/>
    </row>
    <row r="153">
      <c r="A153" s="56" t="n"/>
      <c r="B153" s="58" t="n"/>
      <c r="C153" s="59" t="n"/>
      <c r="D153" s="56" t="n"/>
    </row>
    <row r="154">
      <c r="A154" s="56" t="n"/>
      <c r="B154" s="58" t="n"/>
      <c r="C154" s="59" t="n"/>
      <c r="D154" s="56" t="n"/>
    </row>
    <row r="155">
      <c r="A155" s="56" t="n"/>
      <c r="B155" s="58" t="n"/>
      <c r="C155" s="59" t="n"/>
      <c r="D155" s="56" t="n"/>
    </row>
    <row r="156">
      <c r="A156" s="56" t="n"/>
      <c r="B156" s="58" t="n"/>
      <c r="C156" s="59" t="n"/>
      <c r="D156" s="56" t="n"/>
    </row>
    <row r="157">
      <c r="A157" s="56" t="n"/>
      <c r="B157" s="58" t="n"/>
      <c r="C157" s="59" t="n"/>
      <c r="D157" s="56" t="n"/>
    </row>
    <row r="158">
      <c r="A158" s="56" t="n"/>
      <c r="B158" s="58" t="n"/>
      <c r="C158" s="59" t="n"/>
      <c r="D158" s="56" t="n"/>
    </row>
    <row r="159">
      <c r="A159" s="56" t="n"/>
      <c r="B159" s="58" t="n"/>
      <c r="C159" s="59" t="n"/>
      <c r="D159" s="56" t="n"/>
    </row>
    <row r="160">
      <c r="A160" s="56" t="n"/>
      <c r="B160" s="58" t="n"/>
      <c r="C160" s="59" t="n"/>
      <c r="D160" s="56" t="n"/>
    </row>
    <row r="161">
      <c r="A161" s="56" t="n"/>
      <c r="B161" s="58" t="n"/>
      <c r="C161" s="59" t="n"/>
      <c r="D161" s="56" t="n"/>
    </row>
    <row r="162">
      <c r="A162" s="56" t="n"/>
      <c r="B162" s="58" t="n"/>
      <c r="C162" s="59" t="n"/>
      <c r="D162" s="56" t="n"/>
    </row>
    <row r="163">
      <c r="A163" s="56" t="n"/>
      <c r="B163" s="58" t="n"/>
      <c r="C163" s="59" t="n"/>
      <c r="D163" s="56" t="n"/>
    </row>
    <row r="164">
      <c r="A164" s="56" t="n"/>
      <c r="B164" s="58" t="n"/>
      <c r="C164" s="59" t="n"/>
      <c r="D164" s="56" t="n"/>
    </row>
    <row r="165">
      <c r="A165" s="56" t="n"/>
      <c r="B165" s="58" t="n"/>
      <c r="C165" s="59" t="n"/>
      <c r="D165" s="56" t="n"/>
    </row>
    <row r="166">
      <c r="A166" s="56" t="n"/>
      <c r="B166" s="58" t="n"/>
      <c r="C166" s="59" t="n"/>
      <c r="D166" s="56" t="n"/>
    </row>
    <row r="167">
      <c r="A167" s="56" t="n"/>
      <c r="B167" s="58" t="n"/>
      <c r="C167" s="59" t="n"/>
      <c r="D167" s="56" t="n"/>
    </row>
    <row r="168">
      <c r="A168" s="56" t="n"/>
      <c r="B168" s="58" t="n"/>
      <c r="C168" s="59" t="n"/>
      <c r="D168" s="56" t="n"/>
    </row>
    <row r="169">
      <c r="A169" s="56" t="n"/>
      <c r="B169" s="58" t="n"/>
      <c r="C169" s="59" t="n"/>
      <c r="D169" s="56" t="n"/>
    </row>
    <row r="170">
      <c r="A170" s="56" t="n"/>
      <c r="B170" s="58" t="n"/>
      <c r="C170" s="59" t="n"/>
      <c r="D170" s="56" t="n"/>
    </row>
    <row r="171">
      <c r="A171" s="56" t="n"/>
      <c r="B171" s="58" t="n"/>
      <c r="C171" s="59" t="n"/>
      <c r="D171" s="56" t="n"/>
    </row>
    <row r="172">
      <c r="A172" s="56" t="n"/>
      <c r="B172" s="58" t="n"/>
      <c r="C172" s="59" t="n"/>
      <c r="D172" s="56" t="n"/>
    </row>
    <row r="173">
      <c r="A173" s="56" t="n"/>
      <c r="B173" s="58" t="n"/>
      <c r="C173" s="59" t="n"/>
      <c r="D173" s="56" t="n"/>
    </row>
    <row r="174">
      <c r="A174" s="56" t="n"/>
      <c r="B174" s="58" t="n"/>
      <c r="C174" s="59" t="n"/>
      <c r="D174" s="56" t="n"/>
    </row>
    <row r="175">
      <c r="A175" s="56" t="n"/>
      <c r="B175" s="58" t="n"/>
      <c r="C175" s="59" t="n"/>
      <c r="D175" s="56" t="n"/>
    </row>
    <row r="176">
      <c r="A176" s="56" t="n"/>
      <c r="B176" s="58" t="n"/>
      <c r="C176" s="59" t="n"/>
      <c r="D176" s="56" t="n"/>
    </row>
    <row r="177">
      <c r="A177" s="56" t="n"/>
      <c r="B177" s="58" t="n"/>
      <c r="C177" s="59" t="n"/>
      <c r="D177" s="56" t="n"/>
    </row>
    <row r="178">
      <c r="A178" s="56" t="n"/>
      <c r="B178" s="58" t="n"/>
      <c r="C178" s="59" t="n"/>
      <c r="D178" s="56" t="n"/>
    </row>
    <row r="179">
      <c r="A179" s="56" t="n"/>
      <c r="B179" s="58" t="n"/>
      <c r="C179" s="59" t="n"/>
      <c r="D179" s="56" t="n"/>
    </row>
    <row r="180">
      <c r="A180" s="56" t="n"/>
      <c r="B180" s="58" t="n"/>
      <c r="C180" s="59" t="n"/>
      <c r="D180" s="56" t="n"/>
    </row>
    <row r="181">
      <c r="A181" s="56" t="n"/>
      <c r="B181" s="58" t="n"/>
      <c r="C181" s="59" t="n"/>
      <c r="D181" s="56" t="n"/>
    </row>
    <row r="182">
      <c r="A182" s="56" t="n"/>
      <c r="B182" s="58" t="n"/>
      <c r="C182" s="59" t="n"/>
      <c r="D182" s="56" t="n"/>
    </row>
    <row r="183">
      <c r="A183" s="56" t="n"/>
      <c r="B183" s="58" t="n"/>
      <c r="C183" s="59" t="n"/>
      <c r="D183" s="56" t="n"/>
    </row>
    <row r="184">
      <c r="A184" s="56" t="n"/>
      <c r="B184" s="58" t="n"/>
      <c r="C184" s="59" t="n"/>
      <c r="D184" s="56" t="n"/>
    </row>
    <row r="185">
      <c r="A185" s="56" t="n"/>
      <c r="B185" s="58" t="n"/>
      <c r="C185" s="59" t="n"/>
      <c r="D185" s="56" t="n"/>
    </row>
    <row r="186">
      <c r="A186" s="56" t="n"/>
      <c r="B186" s="58" t="n"/>
      <c r="C186" s="59" t="n"/>
      <c r="D186" s="56" t="n"/>
    </row>
    <row r="187">
      <c r="A187" s="56" t="n"/>
      <c r="B187" s="58" t="n"/>
      <c r="C187" s="59" t="n"/>
      <c r="D187" s="56" t="n"/>
    </row>
    <row r="188">
      <c r="A188" s="56" t="n"/>
      <c r="B188" s="58" t="n"/>
      <c r="C188" s="59" t="n"/>
      <c r="D188" s="56" t="n"/>
    </row>
    <row r="189">
      <c r="A189" s="56" t="n"/>
      <c r="B189" s="58" t="n"/>
      <c r="C189" s="59" t="n"/>
      <c r="D189" s="56" t="n"/>
    </row>
    <row r="190">
      <c r="A190" s="56" t="n"/>
      <c r="B190" s="58" t="n"/>
      <c r="C190" s="59" t="n"/>
      <c r="D190" s="56" t="n"/>
    </row>
    <row r="191">
      <c r="A191" s="56" t="n"/>
      <c r="B191" s="58" t="n"/>
      <c r="C191" s="59" t="n"/>
      <c r="D191" s="56" t="n"/>
    </row>
    <row r="192">
      <c r="A192" s="56" t="n"/>
      <c r="B192" s="58" t="n"/>
      <c r="C192" s="59" t="n"/>
      <c r="D192" s="56" t="n"/>
    </row>
    <row r="193">
      <c r="A193" s="56" t="n"/>
      <c r="B193" s="58" t="n"/>
      <c r="C193" s="59" t="n"/>
      <c r="D193" s="56" t="n"/>
    </row>
    <row r="194">
      <c r="A194" s="56" t="n"/>
      <c r="B194" s="58" t="n"/>
      <c r="C194" s="59" t="n"/>
      <c r="D194" s="56" t="n"/>
    </row>
    <row r="195">
      <c r="A195" s="56" t="n"/>
      <c r="B195" s="58" t="n"/>
      <c r="C195" s="59" t="n"/>
      <c r="D195" s="56" t="n"/>
    </row>
    <row r="196">
      <c r="A196" s="56" t="n"/>
      <c r="B196" s="58" t="n"/>
      <c r="C196" s="59" t="n"/>
      <c r="D196" s="56" t="n"/>
    </row>
    <row r="197">
      <c r="A197" s="56" t="n"/>
      <c r="B197" s="58" t="n"/>
      <c r="C197" s="59" t="n"/>
      <c r="D197" s="56" t="n"/>
    </row>
    <row r="198">
      <c r="A198" s="56" t="n"/>
      <c r="B198" s="58" t="n"/>
      <c r="C198" s="59" t="n"/>
      <c r="D198" s="56" t="n"/>
    </row>
    <row r="199">
      <c r="A199" s="56" t="n"/>
      <c r="B199" s="58" t="n"/>
      <c r="C199" s="59" t="n"/>
      <c r="D199" s="56" t="n"/>
    </row>
    <row r="200">
      <c r="A200" s="56" t="n"/>
      <c r="B200" s="58" t="n"/>
      <c r="C200" s="59" t="n"/>
      <c r="D200" s="56" t="n"/>
    </row>
    <row r="201">
      <c r="A201" s="56" t="n"/>
      <c r="B201" s="58" t="n"/>
      <c r="C201" s="59" t="n"/>
      <c r="D201" s="56" t="n"/>
    </row>
    <row r="202">
      <c r="A202" s="56" t="n"/>
      <c r="B202" s="58" t="n"/>
      <c r="C202" s="59" t="n"/>
      <c r="D202" s="56" t="n"/>
    </row>
    <row r="203">
      <c r="A203" s="56" t="n"/>
      <c r="B203" s="58" t="n"/>
      <c r="C203" s="59" t="n"/>
      <c r="D203" s="56" t="n"/>
    </row>
    <row r="204">
      <c r="A204" s="56" t="n"/>
      <c r="B204" s="58" t="n"/>
      <c r="C204" s="59" t="n"/>
      <c r="D204" s="56" t="n"/>
    </row>
    <row r="205">
      <c r="A205" s="56" t="n"/>
      <c r="B205" s="58" t="n"/>
      <c r="C205" s="59" t="n"/>
      <c r="D205" s="56" t="n"/>
    </row>
    <row r="206">
      <c r="A206" s="56" t="n"/>
      <c r="B206" s="58" t="n"/>
      <c r="C206" s="59" t="n"/>
      <c r="D206" s="56" t="n"/>
    </row>
    <row r="207">
      <c r="A207" s="56" t="n"/>
      <c r="B207" s="58" t="n"/>
      <c r="C207" s="59" t="n"/>
      <c r="D207" s="56" t="n"/>
    </row>
    <row r="208">
      <c r="A208" s="56" t="n"/>
      <c r="B208" s="58" t="n"/>
      <c r="C208" s="59" t="n"/>
      <c r="D208" s="56" t="n"/>
    </row>
    <row r="209">
      <c r="A209" s="56" t="n"/>
      <c r="B209" s="58" t="n"/>
      <c r="C209" s="59" t="n"/>
      <c r="D209" s="56" t="n"/>
    </row>
    <row r="210">
      <c r="A210" s="56" t="n"/>
      <c r="B210" s="58" t="n"/>
      <c r="C210" s="59" t="n"/>
      <c r="D210" s="56" t="n"/>
    </row>
    <row r="211">
      <c r="A211" s="56" t="n"/>
      <c r="B211" s="58" t="n"/>
      <c r="C211" s="59" t="n"/>
      <c r="D211" s="56" t="n"/>
    </row>
    <row r="212">
      <c r="A212" s="56" t="n"/>
      <c r="B212" s="58" t="n"/>
      <c r="C212" s="59" t="n"/>
      <c r="D212" s="56" t="n"/>
    </row>
    <row r="213">
      <c r="A213" s="56" t="n"/>
      <c r="B213" s="58" t="n"/>
      <c r="C213" s="59" t="n"/>
      <c r="D213" s="56" t="n"/>
    </row>
    <row r="214">
      <c r="A214" s="56" t="n"/>
      <c r="B214" s="58" t="n"/>
      <c r="C214" s="59" t="n"/>
      <c r="D214" s="56" t="n"/>
    </row>
    <row r="215">
      <c r="A215" s="56" t="n"/>
      <c r="B215" s="58" t="n"/>
      <c r="C215" s="59" t="n"/>
      <c r="D215" s="56" t="n"/>
    </row>
    <row r="216">
      <c r="A216" s="56" t="n"/>
      <c r="B216" s="58" t="n"/>
      <c r="C216" s="59" t="n"/>
      <c r="D216" s="56" t="n"/>
    </row>
    <row r="217">
      <c r="A217" s="56" t="n"/>
      <c r="B217" s="58" t="n"/>
      <c r="C217" s="59" t="n"/>
      <c r="D217" s="56" t="n"/>
    </row>
    <row r="218">
      <c r="A218" s="56" t="n"/>
      <c r="B218" s="58" t="n"/>
      <c r="C218" s="59" t="n"/>
      <c r="D218" s="56" t="n"/>
    </row>
    <row r="219">
      <c r="A219" s="56" t="n"/>
      <c r="B219" s="58" t="n"/>
      <c r="C219" s="59" t="n"/>
      <c r="D219" s="56" t="n"/>
    </row>
    <row r="220">
      <c r="A220" s="56" t="n"/>
      <c r="B220" s="58" t="n"/>
      <c r="C220" s="59" t="n"/>
      <c r="D220" s="56" t="n"/>
    </row>
    <row r="221">
      <c r="A221" s="56" t="n"/>
      <c r="B221" s="58" t="n"/>
      <c r="C221" s="59" t="n"/>
      <c r="D221" s="56" t="n"/>
    </row>
    <row r="222">
      <c r="A222" s="56" t="n"/>
      <c r="B222" s="58" t="n"/>
      <c r="C222" s="59" t="n"/>
      <c r="D222" s="56" t="n"/>
    </row>
    <row r="223">
      <c r="A223" s="56" t="n"/>
      <c r="B223" s="58" t="n"/>
      <c r="C223" s="59" t="n"/>
      <c r="D223" s="56" t="n"/>
    </row>
    <row r="224">
      <c r="A224" s="56" t="n"/>
      <c r="B224" s="58" t="n"/>
      <c r="C224" s="59" t="n"/>
      <c r="D224" s="56" t="n"/>
    </row>
    <row r="225">
      <c r="A225" s="56" t="n"/>
      <c r="B225" s="58" t="n"/>
      <c r="C225" s="59" t="n"/>
      <c r="D225" s="56" t="n"/>
    </row>
    <row r="226">
      <c r="A226" s="56" t="n"/>
      <c r="B226" s="58" t="n"/>
      <c r="C226" s="59" t="n"/>
      <c r="D226" s="56" t="n"/>
    </row>
    <row r="227">
      <c r="A227" s="56" t="n"/>
      <c r="B227" s="58" t="n"/>
      <c r="C227" s="59" t="n"/>
      <c r="D227" s="56" t="n"/>
    </row>
    <row r="228">
      <c r="A228" s="56" t="n"/>
      <c r="B228" s="58" t="n"/>
      <c r="C228" s="59" t="n"/>
      <c r="D228" s="56" t="n"/>
    </row>
    <row r="229">
      <c r="A229" s="56" t="n"/>
      <c r="B229" s="58" t="n"/>
      <c r="C229" s="59" t="n"/>
      <c r="D229" s="56" t="n"/>
    </row>
    <row r="230">
      <c r="A230" s="56" t="n"/>
      <c r="B230" s="58" t="n"/>
      <c r="C230" s="59" t="n"/>
      <c r="D230" s="56" t="n"/>
    </row>
    <row r="231">
      <c r="A231" s="56" t="n"/>
      <c r="B231" s="58" t="n"/>
      <c r="C231" s="59" t="n"/>
      <c r="D231" s="56" t="n"/>
    </row>
    <row r="232">
      <c r="A232" s="56" t="n"/>
      <c r="B232" s="58" t="n"/>
      <c r="C232" s="59" t="n"/>
      <c r="D232" s="56" t="n"/>
    </row>
    <row r="233">
      <c r="A233" s="56" t="n"/>
      <c r="B233" s="58" t="n"/>
      <c r="C233" s="59" t="n"/>
      <c r="D233" s="56" t="n"/>
    </row>
    <row r="234">
      <c r="A234" s="56" t="n"/>
      <c r="B234" s="58" t="n"/>
      <c r="C234" s="59" t="n"/>
      <c r="D234" s="56" t="n"/>
    </row>
    <row r="235">
      <c r="A235" s="56" t="n"/>
      <c r="B235" s="58" t="n"/>
      <c r="C235" s="59" t="n"/>
      <c r="D235" s="56" t="n"/>
    </row>
    <row r="236">
      <c r="A236" s="56" t="n"/>
      <c r="B236" s="58" t="n"/>
      <c r="C236" s="59" t="n"/>
      <c r="D236" s="56" t="n"/>
    </row>
    <row r="237">
      <c r="A237" s="56" t="n"/>
      <c r="B237" s="58" t="n"/>
      <c r="C237" s="59" t="n"/>
      <c r="D237" s="56" t="n"/>
    </row>
    <row r="238">
      <c r="A238" s="56" t="n"/>
      <c r="B238" s="58" t="n"/>
      <c r="C238" s="59" t="n"/>
      <c r="D238" s="56" t="n"/>
    </row>
    <row r="239">
      <c r="A239" s="56" t="n"/>
      <c r="B239" s="58" t="n"/>
      <c r="C239" s="59" t="n"/>
      <c r="D239" s="56" t="n"/>
    </row>
    <row r="240">
      <c r="A240" s="56" t="n"/>
      <c r="B240" s="58" t="n"/>
      <c r="C240" s="59" t="n"/>
      <c r="D240" s="56" t="n"/>
    </row>
    <row r="241">
      <c r="A241" s="56" t="n"/>
      <c r="B241" s="58" t="n"/>
      <c r="C241" s="59" t="n"/>
      <c r="D241" s="56" t="n"/>
    </row>
    <row r="242">
      <c r="A242" s="56" t="n"/>
      <c r="B242" s="58" t="n"/>
      <c r="C242" s="59" t="n"/>
      <c r="D242" s="56" t="n"/>
    </row>
    <row r="243">
      <c r="A243" s="56" t="n"/>
      <c r="B243" s="58" t="n"/>
      <c r="C243" s="59" t="n"/>
      <c r="D243" s="56" t="n"/>
    </row>
    <row r="244">
      <c r="A244" s="56" t="n"/>
      <c r="B244" s="58" t="n"/>
      <c r="C244" s="59" t="n"/>
      <c r="D244" s="56" t="n"/>
    </row>
    <row r="245">
      <c r="A245" s="56" t="n"/>
      <c r="B245" s="58" t="n"/>
      <c r="C245" s="59" t="n"/>
      <c r="D245" s="56" t="n"/>
    </row>
    <row r="246">
      <c r="A246" s="56" t="n"/>
      <c r="B246" s="58" t="n"/>
      <c r="C246" s="59" t="n"/>
      <c r="D246" s="56" t="n"/>
    </row>
    <row r="247">
      <c r="A247" s="56" t="n"/>
      <c r="B247" s="58" t="n"/>
      <c r="C247" s="59" t="n"/>
      <c r="D247" s="56" t="n"/>
    </row>
    <row r="248">
      <c r="A248" s="56" t="n"/>
      <c r="B248" s="58" t="n"/>
      <c r="C248" s="59" t="n"/>
      <c r="D248" s="56" t="n"/>
    </row>
    <row r="249">
      <c r="A249" s="56" t="n"/>
      <c r="B249" s="58" t="n"/>
      <c r="C249" s="59" t="n"/>
      <c r="D249" s="56" t="n"/>
    </row>
    <row r="250">
      <c r="A250" s="56" t="n"/>
      <c r="B250" s="58" t="n"/>
      <c r="C250" s="59" t="n"/>
      <c r="D250" s="56" t="n"/>
    </row>
    <row r="251">
      <c r="A251" s="56" t="n"/>
      <c r="B251" s="58" t="n"/>
      <c r="C251" s="59" t="n"/>
      <c r="D251" s="56" t="n"/>
    </row>
    <row r="252">
      <c r="A252" s="56" t="n"/>
      <c r="B252" s="58" t="n"/>
      <c r="C252" s="59" t="n"/>
      <c r="D252" s="56" t="n"/>
    </row>
    <row r="253">
      <c r="A253" s="56" t="n"/>
      <c r="B253" s="58" t="n"/>
      <c r="C253" s="59" t="n"/>
      <c r="D253" s="56" t="n"/>
    </row>
    <row r="254">
      <c r="A254" s="56" t="n"/>
      <c r="B254" s="58" t="n"/>
      <c r="C254" s="59" t="n"/>
      <c r="D254" s="56" t="n"/>
    </row>
    <row r="255">
      <c r="A255" s="56" t="n"/>
      <c r="B255" s="58" t="n"/>
      <c r="C255" s="59" t="n"/>
      <c r="D255" s="56" t="n"/>
    </row>
    <row r="256">
      <c r="A256" s="56" t="n"/>
      <c r="B256" s="58" t="n"/>
      <c r="C256" s="59" t="n"/>
      <c r="D256" s="56" t="n"/>
    </row>
    <row r="257">
      <c r="A257" s="56" t="n"/>
      <c r="B257" s="58" t="n"/>
      <c r="C257" s="59" t="n"/>
      <c r="D257" s="56" t="n"/>
    </row>
    <row r="258">
      <c r="A258" s="56" t="n"/>
      <c r="B258" s="58" t="n"/>
      <c r="C258" s="59" t="n"/>
      <c r="D258" s="56" t="n"/>
    </row>
    <row r="259">
      <c r="A259" s="56" t="n"/>
      <c r="B259" s="58" t="n"/>
      <c r="C259" s="59" t="n"/>
      <c r="D259" s="56" t="n"/>
    </row>
    <row r="260">
      <c r="A260" s="56" t="n"/>
      <c r="B260" s="58" t="n"/>
      <c r="C260" s="59" t="n"/>
      <c r="D260" s="56" t="n"/>
    </row>
    <row r="261">
      <c r="A261" s="56" t="n"/>
      <c r="B261" s="58" t="n"/>
      <c r="C261" s="59" t="n"/>
      <c r="D261" s="56" t="n"/>
    </row>
    <row r="262">
      <c r="A262" s="56" t="n"/>
      <c r="B262" s="58" t="n"/>
      <c r="C262" s="59" t="n"/>
      <c r="D262" s="56" t="n"/>
    </row>
    <row r="263">
      <c r="A263" s="56" t="n"/>
      <c r="B263" s="58" t="n"/>
      <c r="C263" s="59" t="n"/>
      <c r="D263" s="56" t="n"/>
    </row>
    <row r="264">
      <c r="A264" s="56" t="n"/>
      <c r="B264" s="58" t="n"/>
      <c r="C264" s="59" t="n"/>
      <c r="D264" s="56" t="n"/>
    </row>
    <row r="265">
      <c r="A265" s="56" t="n"/>
      <c r="B265" s="58" t="n"/>
      <c r="C265" s="59" t="n"/>
      <c r="D265" s="56" t="n"/>
    </row>
    <row r="266">
      <c r="A266" s="56" t="n"/>
      <c r="B266" s="58" t="n"/>
      <c r="C266" s="59" t="n"/>
      <c r="D266" s="56" t="n"/>
    </row>
    <row r="267">
      <c r="A267" s="56" t="n"/>
      <c r="B267" s="58" t="n"/>
      <c r="C267" s="59" t="n"/>
      <c r="D267" s="56" t="n"/>
    </row>
    <row r="268">
      <c r="A268" s="56" t="n"/>
      <c r="B268" s="58" t="n"/>
      <c r="C268" s="59" t="n"/>
      <c r="D268" s="56" t="n"/>
    </row>
    <row r="269">
      <c r="A269" s="56" t="n"/>
      <c r="B269" s="58" t="n"/>
      <c r="C269" s="59" t="n"/>
      <c r="D269" s="56" t="n"/>
    </row>
    <row r="270">
      <c r="A270" s="56" t="n"/>
      <c r="B270" s="58" t="n"/>
      <c r="C270" s="59" t="n"/>
      <c r="D270" s="56" t="n"/>
    </row>
    <row r="271">
      <c r="A271" s="56" t="n"/>
      <c r="B271" s="58" t="n"/>
      <c r="C271" s="59" t="n"/>
      <c r="D271" s="56" t="n"/>
    </row>
    <row r="272">
      <c r="A272" s="56" t="n"/>
      <c r="B272" s="58" t="n"/>
      <c r="C272" s="59" t="n"/>
      <c r="D272" s="56" t="n"/>
    </row>
    <row r="273">
      <c r="A273" s="56" t="n"/>
      <c r="B273" s="58" t="n"/>
      <c r="C273" s="59" t="n"/>
      <c r="D273" s="56" t="n"/>
    </row>
    <row r="274">
      <c r="A274" s="56" t="n"/>
      <c r="B274" s="58" t="n"/>
      <c r="C274" s="59" t="n"/>
      <c r="D274" s="56" t="n"/>
    </row>
    <row r="275">
      <c r="A275" s="56" t="n"/>
      <c r="B275" s="58" t="n"/>
      <c r="C275" s="59" t="n"/>
      <c r="D275" s="56" t="n"/>
    </row>
    <row r="276">
      <c r="A276" s="56" t="n"/>
      <c r="B276" s="58" t="n"/>
      <c r="C276" s="59" t="n"/>
      <c r="D276" s="56" t="n"/>
    </row>
    <row r="277">
      <c r="A277" s="56" t="n"/>
      <c r="B277" s="58" t="n"/>
      <c r="C277" s="59" t="n"/>
      <c r="D277" s="56" t="n"/>
    </row>
    <row r="278">
      <c r="A278" s="56" t="n"/>
      <c r="B278" s="58" t="n"/>
      <c r="C278" s="59" t="n"/>
      <c r="D278" s="56" t="n"/>
    </row>
    <row r="279">
      <c r="A279" s="56" t="n"/>
      <c r="B279" s="58" t="n"/>
      <c r="C279" s="59" t="n"/>
      <c r="D279" s="56" t="n"/>
    </row>
    <row r="280">
      <c r="A280" s="56" t="n"/>
      <c r="B280" s="58" t="n"/>
      <c r="C280" s="59" t="n"/>
      <c r="D280" s="56" t="n"/>
    </row>
    <row r="281">
      <c r="A281" s="56" t="n"/>
      <c r="B281" s="58" t="n"/>
      <c r="C281" s="59" t="n"/>
      <c r="D281" s="56" t="n"/>
    </row>
    <row r="282">
      <c r="A282" s="56" t="n"/>
      <c r="B282" s="58" t="n"/>
      <c r="C282" s="59" t="n"/>
      <c r="D282" s="56" t="n"/>
    </row>
    <row r="283">
      <c r="A283" s="56" t="n"/>
      <c r="B283" s="58" t="n"/>
      <c r="C283" s="59" t="n"/>
      <c r="D283" s="56" t="n"/>
    </row>
    <row r="284">
      <c r="A284" s="56" t="n"/>
      <c r="B284" s="58" t="n"/>
      <c r="C284" s="59" t="n"/>
      <c r="D284" s="56" t="n"/>
    </row>
    <row r="285">
      <c r="A285" s="56" t="n"/>
      <c r="B285" s="58" t="n"/>
      <c r="C285" s="59" t="n"/>
      <c r="D285" s="56" t="n"/>
    </row>
    <row r="286">
      <c r="A286" s="56" t="n"/>
      <c r="B286" s="58" t="n"/>
      <c r="C286" s="59" t="n"/>
      <c r="D286" s="56" t="n"/>
    </row>
    <row r="287">
      <c r="A287" s="56" t="n"/>
      <c r="B287" s="58" t="n"/>
      <c r="C287" s="59" t="n"/>
      <c r="D287" s="56" t="n"/>
    </row>
    <row r="288">
      <c r="A288" s="56" t="n"/>
      <c r="B288" s="58" t="n"/>
      <c r="C288" s="59" t="n"/>
      <c r="D288" s="56" t="n"/>
    </row>
    <row r="289">
      <c r="A289" s="56" t="n"/>
      <c r="B289" s="58" t="n"/>
      <c r="C289" s="59" t="n"/>
      <c r="D289" s="56" t="n"/>
    </row>
    <row r="290">
      <c r="A290" s="56" t="n"/>
      <c r="B290" s="58" t="n"/>
      <c r="C290" s="59" t="n"/>
      <c r="D290" s="56" t="n"/>
    </row>
    <row r="291">
      <c r="A291" s="56" t="n"/>
      <c r="B291" s="58" t="n"/>
      <c r="C291" s="59" t="n"/>
      <c r="D291" s="56" t="n"/>
    </row>
    <row r="292">
      <c r="A292" s="56" t="n"/>
      <c r="B292" s="58" t="n"/>
      <c r="C292" s="59" t="n"/>
      <c r="D292" s="56" t="n"/>
    </row>
    <row r="293">
      <c r="A293" s="56" t="n"/>
      <c r="B293" s="58" t="n"/>
      <c r="C293" s="59" t="n"/>
      <c r="D293" s="56" t="n"/>
    </row>
    <row r="294">
      <c r="A294" s="56" t="n"/>
      <c r="B294" s="58" t="n"/>
      <c r="C294" s="59" t="n"/>
      <c r="D294" s="56" t="n"/>
    </row>
    <row r="295">
      <c r="A295" s="56" t="n"/>
      <c r="B295" s="58" t="n"/>
      <c r="C295" s="59" t="n"/>
      <c r="D295" s="56" t="n"/>
    </row>
    <row r="296">
      <c r="A296" s="56" t="n"/>
      <c r="B296" s="58" t="n"/>
      <c r="C296" s="59" t="n"/>
      <c r="D296" s="56" t="n"/>
    </row>
    <row r="297">
      <c r="A297" s="56" t="n"/>
      <c r="B297" s="58" t="n"/>
      <c r="C297" s="59" t="n"/>
      <c r="D297" s="56" t="n"/>
    </row>
    <row r="298">
      <c r="A298" s="56" t="n"/>
      <c r="B298" s="58" t="n"/>
      <c r="C298" s="59" t="n"/>
      <c r="D298" s="56" t="n"/>
    </row>
    <row r="299">
      <c r="A299" s="56" t="n"/>
      <c r="B299" s="58" t="n"/>
      <c r="C299" s="59" t="n"/>
      <c r="D299" s="56" t="n"/>
    </row>
    <row r="300">
      <c r="A300" s="56" t="n"/>
      <c r="B300" s="58" t="n"/>
      <c r="C300" s="59" t="n"/>
      <c r="D300" s="56" t="n"/>
    </row>
    <row r="301">
      <c r="A301" s="56" t="n"/>
      <c r="B301" s="58" t="n"/>
      <c r="C301" s="59" t="n"/>
      <c r="D301" s="56" t="n"/>
    </row>
    <row r="302">
      <c r="A302" s="56" t="n"/>
      <c r="B302" s="58" t="n"/>
      <c r="C302" s="59" t="n"/>
      <c r="D302" s="56" t="n"/>
    </row>
    <row r="303">
      <c r="A303" s="56" t="n"/>
      <c r="B303" s="58" t="n"/>
      <c r="C303" s="59" t="n"/>
      <c r="D303" s="56" t="n"/>
    </row>
    <row r="304">
      <c r="A304" s="56" t="n"/>
      <c r="B304" s="58" t="n"/>
      <c r="C304" s="59" t="n"/>
      <c r="D304" s="56" t="n"/>
    </row>
    <row r="305">
      <c r="A305" s="56" t="n"/>
      <c r="B305" s="58" t="n"/>
      <c r="C305" s="59" t="n"/>
      <c r="D305" s="56" t="n"/>
    </row>
    <row r="306">
      <c r="A306" s="56" t="n"/>
      <c r="B306" s="58" t="n"/>
      <c r="C306" s="59" t="n"/>
      <c r="D306" s="56" t="n"/>
    </row>
    <row r="307">
      <c r="A307" s="56" t="n"/>
      <c r="B307" s="58" t="n"/>
      <c r="C307" s="59" t="n"/>
      <c r="D307" s="56" t="n"/>
    </row>
    <row r="308">
      <c r="A308" s="56" t="n"/>
      <c r="B308" s="58" t="n"/>
      <c r="C308" s="59" t="n"/>
      <c r="D308" s="56" t="n"/>
    </row>
    <row r="309">
      <c r="A309" s="56" t="n"/>
      <c r="B309" s="58" t="n"/>
      <c r="C309" s="59" t="n"/>
      <c r="D309" s="56" t="n"/>
    </row>
    <row r="310">
      <c r="A310" s="56" t="n"/>
      <c r="B310" s="58" t="n"/>
      <c r="C310" s="59" t="n"/>
      <c r="D310" s="56" t="n"/>
    </row>
    <row r="311">
      <c r="A311" s="56" t="n"/>
      <c r="B311" s="58" t="n"/>
      <c r="C311" s="59" t="n"/>
      <c r="D311" s="56" t="n"/>
    </row>
    <row r="312">
      <c r="A312" s="56" t="n"/>
      <c r="B312" s="58" t="n"/>
      <c r="C312" s="59" t="n"/>
      <c r="D312" s="56" t="n"/>
    </row>
    <row r="313">
      <c r="A313" s="56" t="n"/>
      <c r="B313" s="58" t="n"/>
      <c r="C313" s="59" t="n"/>
      <c r="D313" s="56" t="n"/>
    </row>
    <row r="314">
      <c r="A314" s="56" t="n"/>
      <c r="B314" s="58" t="n"/>
      <c r="C314" s="59" t="n"/>
      <c r="D314" s="56" t="n"/>
    </row>
    <row r="315">
      <c r="A315" s="56" t="n"/>
      <c r="B315" s="58" t="n"/>
      <c r="C315" s="59" t="n"/>
      <c r="D315" s="56" t="n"/>
    </row>
    <row r="316">
      <c r="A316" s="56" t="n"/>
      <c r="B316" s="58" t="n"/>
      <c r="C316" s="59" t="n"/>
      <c r="D316" s="56" t="n"/>
    </row>
    <row r="317">
      <c r="A317" s="56" t="n"/>
      <c r="B317" s="58" t="n"/>
      <c r="C317" s="59" t="n"/>
      <c r="D317" s="56" t="n"/>
    </row>
    <row r="318">
      <c r="A318" s="56" t="n"/>
      <c r="B318" s="58" t="n"/>
      <c r="C318" s="59" t="n"/>
      <c r="D318" s="56" t="n"/>
    </row>
    <row r="319">
      <c r="A319" s="56" t="n"/>
      <c r="B319" s="58" t="n"/>
      <c r="C319" s="59" t="n"/>
      <c r="D319" s="56" t="n"/>
    </row>
    <row r="320">
      <c r="A320" s="56" t="n"/>
      <c r="B320" s="58" t="n"/>
      <c r="C320" s="59" t="n"/>
      <c r="D320" s="56" t="n"/>
    </row>
    <row r="321">
      <c r="A321" s="56" t="n"/>
      <c r="B321" s="58" t="n"/>
      <c r="C321" s="59" t="n"/>
      <c r="D321" s="56" t="n"/>
    </row>
    <row r="322">
      <c r="A322" s="56" t="n"/>
      <c r="B322" s="58" t="n"/>
      <c r="C322" s="59" t="n"/>
      <c r="D322" s="56" t="n"/>
    </row>
    <row r="323">
      <c r="A323" s="56" t="n"/>
      <c r="B323" s="58" t="n"/>
      <c r="C323" s="59" t="n"/>
      <c r="D323" s="56" t="n"/>
    </row>
    <row r="324">
      <c r="A324" s="56" t="n"/>
      <c r="B324" s="58" t="n"/>
      <c r="C324" s="59" t="n"/>
      <c r="D324" s="56" t="n"/>
    </row>
    <row r="325">
      <c r="A325" s="56" t="n"/>
      <c r="B325" s="58" t="n"/>
      <c r="C325" s="59" t="n"/>
      <c r="D325" s="56" t="n"/>
    </row>
    <row r="326">
      <c r="A326" s="56" t="n"/>
      <c r="B326" s="58" t="n"/>
      <c r="C326" s="59" t="n"/>
      <c r="D326" s="56" t="n"/>
    </row>
    <row r="327">
      <c r="A327" s="56" t="n"/>
      <c r="B327" s="58" t="n"/>
      <c r="C327" s="59" t="n"/>
      <c r="D327" s="56" t="n"/>
    </row>
    <row r="328">
      <c r="A328" s="56" t="n"/>
      <c r="B328" s="58" t="n"/>
      <c r="C328" s="59" t="n"/>
      <c r="D328" s="56" t="n"/>
    </row>
    <row r="329">
      <c r="A329" s="56" t="n"/>
      <c r="B329" s="58" t="n"/>
      <c r="C329" s="59" t="n"/>
      <c r="D329" s="56" t="n"/>
    </row>
    <row r="330">
      <c r="A330" s="56" t="n"/>
      <c r="B330" s="58" t="n"/>
      <c r="C330" s="59" t="n"/>
      <c r="D330" s="56" t="n"/>
    </row>
    <row r="331">
      <c r="A331" s="56" t="n"/>
      <c r="B331" s="58" t="n"/>
      <c r="C331" s="59" t="n"/>
      <c r="D331" s="56" t="n"/>
    </row>
    <row r="332">
      <c r="A332" s="56" t="n"/>
      <c r="B332" s="58" t="n"/>
      <c r="C332" s="59" t="n"/>
      <c r="D332" s="56" t="n"/>
    </row>
    <row r="333">
      <c r="A333" s="56" t="n"/>
      <c r="B333" s="58" t="n"/>
      <c r="C333" s="59" t="n"/>
      <c r="D333" s="56" t="n"/>
    </row>
    <row r="334">
      <c r="A334" s="56" t="n"/>
      <c r="B334" s="58" t="n"/>
      <c r="C334" s="59" t="n"/>
      <c r="D334" s="56" t="n"/>
    </row>
    <row r="335">
      <c r="A335" s="56" t="n"/>
      <c r="B335" s="58" t="n"/>
      <c r="C335" s="59" t="n"/>
      <c r="D335" s="56" t="n"/>
    </row>
    <row r="336">
      <c r="A336" s="56" t="n"/>
      <c r="B336" s="58" t="n"/>
      <c r="C336" s="59" t="n"/>
      <c r="D336" s="56" t="n"/>
    </row>
    <row r="337">
      <c r="A337" s="56" t="n"/>
      <c r="B337" s="58" t="n"/>
      <c r="C337" s="59" t="n"/>
      <c r="D337" s="56" t="n"/>
    </row>
    <row r="338">
      <c r="A338" s="56" t="n"/>
      <c r="B338" s="58" t="n"/>
      <c r="C338" s="59" t="n"/>
      <c r="D338" s="56" t="n"/>
    </row>
    <row r="339">
      <c r="A339" s="56" t="n"/>
      <c r="B339" s="58" t="n"/>
      <c r="C339" s="59" t="n"/>
      <c r="D339" s="56" t="n"/>
    </row>
    <row r="340">
      <c r="A340" s="56" t="n"/>
      <c r="B340" s="58" t="n"/>
      <c r="C340" s="59" t="n"/>
      <c r="D340" s="56" t="n"/>
    </row>
    <row r="341">
      <c r="A341" s="56" t="n"/>
      <c r="B341" s="58" t="n"/>
      <c r="C341" s="59" t="n"/>
      <c r="D341" s="56" t="n"/>
    </row>
    <row r="342">
      <c r="A342" s="56" t="n"/>
      <c r="B342" s="58" t="n"/>
      <c r="C342" s="59" t="n"/>
      <c r="D342" s="56" t="n"/>
    </row>
    <row r="343">
      <c r="A343" s="56" t="n"/>
      <c r="B343" s="58" t="n"/>
      <c r="C343" s="59" t="n"/>
      <c r="D343" s="56" t="n"/>
    </row>
    <row r="344">
      <c r="A344" s="56" t="n"/>
      <c r="B344" s="58" t="n"/>
      <c r="C344" s="59" t="n"/>
      <c r="D344" s="56" t="n"/>
    </row>
    <row r="345">
      <c r="A345" s="56" t="n"/>
      <c r="B345" s="58" t="n"/>
      <c r="C345" s="59" t="n"/>
      <c r="D345" s="56" t="n"/>
    </row>
    <row r="346">
      <c r="A346" s="56" t="n"/>
      <c r="B346" s="58" t="n"/>
      <c r="C346" s="59" t="n"/>
      <c r="D346" s="56" t="n"/>
    </row>
    <row r="347">
      <c r="A347" s="56" t="n"/>
      <c r="B347" s="58" t="n"/>
      <c r="C347" s="59" t="n"/>
      <c r="D347" s="56" t="n"/>
    </row>
    <row r="348">
      <c r="A348" s="56" t="n"/>
      <c r="B348" s="58" t="n"/>
      <c r="C348" s="59" t="n"/>
      <c r="D348" s="56" t="n"/>
    </row>
    <row r="349">
      <c r="A349" s="56" t="n"/>
      <c r="B349" s="58" t="n"/>
      <c r="C349" s="59" t="n"/>
      <c r="D349" s="56" t="n"/>
    </row>
    <row r="350">
      <c r="A350" s="56" t="n"/>
      <c r="B350" s="58" t="n"/>
      <c r="C350" s="59" t="n"/>
      <c r="D350" s="56" t="n"/>
    </row>
    <row r="351">
      <c r="A351" s="56" t="n"/>
      <c r="B351" s="58" t="n"/>
      <c r="C351" s="59" t="n"/>
      <c r="D351" s="56" t="n"/>
    </row>
    <row r="352">
      <c r="A352" s="56" t="n"/>
      <c r="B352" s="58" t="n"/>
      <c r="C352" s="59" t="n"/>
      <c r="D352" s="56" t="n"/>
    </row>
    <row r="353">
      <c r="A353" s="56" t="n"/>
      <c r="B353" s="58" t="n"/>
      <c r="C353" s="59" t="n"/>
      <c r="D353" s="56" t="n"/>
    </row>
    <row r="354">
      <c r="A354" s="56" t="n"/>
      <c r="B354" s="58" t="n"/>
      <c r="C354" s="59" t="n"/>
      <c r="D354" s="56" t="n"/>
    </row>
    <row r="355">
      <c r="A355" s="56" t="n"/>
      <c r="B355" s="58" t="n"/>
      <c r="C355" s="59" t="n"/>
      <c r="D355" s="56" t="n"/>
    </row>
    <row r="356">
      <c r="A356" s="56" t="n"/>
      <c r="B356" s="58" t="n"/>
      <c r="C356" s="59" t="n"/>
      <c r="D356" s="56" t="n"/>
    </row>
    <row r="357">
      <c r="A357" s="56" t="n"/>
      <c r="B357" s="58" t="n"/>
      <c r="C357" s="59" t="n"/>
      <c r="D357" s="56" t="n"/>
    </row>
    <row r="358">
      <c r="A358" s="56" t="n"/>
      <c r="B358" s="58" t="n"/>
      <c r="C358" s="59" t="n"/>
      <c r="D358" s="56" t="n"/>
    </row>
    <row r="359">
      <c r="A359" s="56" t="n"/>
      <c r="B359" s="58" t="n"/>
      <c r="C359" s="59" t="n"/>
      <c r="D359" s="56" t="n"/>
    </row>
    <row r="360">
      <c r="A360" s="56" t="n"/>
      <c r="B360" s="58" t="n"/>
      <c r="C360" s="59" t="n"/>
      <c r="D360" s="56" t="n"/>
    </row>
    <row r="361">
      <c r="A361" s="56" t="n"/>
      <c r="B361" s="58" t="n"/>
      <c r="C361" s="59" t="n"/>
      <c r="D361" s="56" t="n"/>
    </row>
    <row r="362">
      <c r="A362" s="56" t="n"/>
      <c r="B362" s="58" t="n"/>
      <c r="C362" s="59" t="n"/>
      <c r="D362" s="56" t="n"/>
    </row>
    <row r="363">
      <c r="A363" s="56" t="n"/>
      <c r="B363" s="58" t="n"/>
      <c r="C363" s="59" t="n"/>
      <c r="D363" s="56" t="n"/>
    </row>
    <row r="364">
      <c r="A364" s="56" t="n"/>
      <c r="B364" s="58" t="n"/>
      <c r="C364" s="59" t="n"/>
      <c r="D364" s="56" t="n"/>
    </row>
    <row r="365">
      <c r="A365" s="56" t="n"/>
      <c r="B365" s="58" t="n"/>
      <c r="C365" s="59" t="n"/>
      <c r="D365" s="56" t="n"/>
    </row>
    <row r="366">
      <c r="A366" s="56" t="n"/>
      <c r="B366" s="58" t="n"/>
      <c r="C366" s="59" t="n"/>
      <c r="D366" s="56" t="n"/>
    </row>
    <row r="367">
      <c r="A367" s="56" t="n"/>
      <c r="B367" s="58" t="n"/>
      <c r="C367" s="59" t="n"/>
      <c r="D367" s="56" t="n"/>
    </row>
    <row r="368">
      <c r="A368" s="56" t="n"/>
      <c r="B368" s="58" t="n"/>
      <c r="C368" s="59" t="n"/>
      <c r="D368" s="56" t="n"/>
    </row>
    <row r="369">
      <c r="A369" s="56" t="n"/>
      <c r="B369" s="58" t="n"/>
      <c r="C369" s="59" t="n"/>
      <c r="D369" s="56" t="n"/>
    </row>
    <row r="370">
      <c r="A370" s="56" t="n"/>
      <c r="B370" s="58" t="n"/>
      <c r="C370" s="59" t="n"/>
      <c r="D370" s="56" t="n"/>
    </row>
    <row r="371">
      <c r="A371" s="56" t="n"/>
      <c r="B371" s="58" t="n"/>
      <c r="C371" s="59" t="n"/>
      <c r="D371" s="56" t="n"/>
    </row>
    <row r="372">
      <c r="A372" s="56" t="n"/>
      <c r="B372" s="58" t="n"/>
      <c r="C372" s="59" t="n"/>
      <c r="D372" s="56" t="n"/>
    </row>
    <row r="373">
      <c r="A373" s="56" t="n"/>
      <c r="B373" s="58" t="n"/>
      <c r="C373" s="59" t="n"/>
      <c r="D373" s="56" t="n"/>
    </row>
    <row r="374">
      <c r="A374" s="56" t="n"/>
      <c r="B374" s="58" t="n"/>
      <c r="C374" s="59" t="n"/>
      <c r="D374" s="56" t="n"/>
    </row>
    <row r="375">
      <c r="A375" s="56" t="n"/>
      <c r="B375" s="58" t="n"/>
      <c r="C375" s="59" t="n"/>
      <c r="D375" s="56" t="n"/>
    </row>
    <row r="376">
      <c r="A376" s="56" t="n"/>
      <c r="B376" s="58" t="n"/>
      <c r="C376" s="59" t="n"/>
      <c r="D376" s="56" t="n"/>
    </row>
    <row r="377">
      <c r="A377" s="56" t="n"/>
      <c r="B377" s="58" t="n"/>
      <c r="C377" s="59" t="n"/>
      <c r="D377" s="56" t="n"/>
    </row>
    <row r="378">
      <c r="A378" s="56" t="n"/>
      <c r="B378" s="58" t="n"/>
      <c r="C378" s="59" t="n"/>
      <c r="D378" s="56" t="n"/>
    </row>
    <row r="379">
      <c r="A379" s="56" t="n"/>
      <c r="B379" s="58" t="n"/>
      <c r="C379" s="59" t="n"/>
      <c r="D379" s="56" t="n"/>
    </row>
    <row r="380">
      <c r="A380" s="56" t="n"/>
      <c r="B380" s="58" t="n"/>
      <c r="C380" s="59" t="n"/>
      <c r="D380" s="56" t="n"/>
    </row>
    <row r="381">
      <c r="A381" s="56" t="n"/>
      <c r="B381" s="58" t="n"/>
      <c r="C381" s="59" t="n"/>
      <c r="D381" s="56" t="n"/>
    </row>
    <row r="382">
      <c r="A382" s="56" t="n"/>
      <c r="B382" s="58" t="n"/>
      <c r="C382" s="59" t="n"/>
      <c r="D382" s="56" t="n"/>
    </row>
    <row r="383">
      <c r="A383" s="56" t="n"/>
      <c r="B383" s="58" t="n"/>
      <c r="C383" s="59" t="n"/>
      <c r="D383" s="56" t="n"/>
    </row>
    <row r="384">
      <c r="A384" s="56" t="n"/>
      <c r="B384" s="58" t="n"/>
      <c r="C384" s="59" t="n"/>
      <c r="D384" s="56" t="n"/>
    </row>
    <row r="385">
      <c r="A385" s="56" t="n"/>
      <c r="B385" s="58" t="n"/>
      <c r="C385" s="59" t="n"/>
      <c r="D385" s="56" t="n"/>
    </row>
    <row r="386">
      <c r="A386" s="56" t="n"/>
      <c r="B386" s="58" t="n"/>
      <c r="C386" s="59" t="n"/>
      <c r="D386" s="56" t="n"/>
    </row>
    <row r="387">
      <c r="A387" s="56" t="n"/>
      <c r="B387" s="58" t="n"/>
      <c r="C387" s="59" t="n"/>
      <c r="D387" s="56" t="n"/>
    </row>
    <row r="388">
      <c r="A388" s="56" t="n"/>
      <c r="B388" s="58" t="n"/>
      <c r="C388" s="59" t="n"/>
      <c r="D388" s="56" t="n"/>
    </row>
    <row r="389">
      <c r="A389" s="56" t="n"/>
      <c r="B389" s="58" t="n"/>
      <c r="C389" s="59" t="n"/>
      <c r="D389" s="56" t="n"/>
    </row>
    <row r="390">
      <c r="A390" s="56" t="n"/>
      <c r="B390" s="58" t="n"/>
      <c r="C390" s="59" t="n"/>
      <c r="D390" s="56" t="n"/>
    </row>
    <row r="391">
      <c r="A391" s="56" t="n"/>
      <c r="B391" s="58" t="n"/>
      <c r="C391" s="59" t="n"/>
      <c r="D391" s="56" t="n"/>
    </row>
    <row r="392">
      <c r="A392" s="56" t="n"/>
      <c r="B392" s="58" t="n"/>
      <c r="C392" s="59" t="n"/>
      <c r="D392" s="56" t="n"/>
    </row>
    <row r="393">
      <c r="A393" s="56" t="n"/>
      <c r="B393" s="58" t="n"/>
      <c r="C393" s="59" t="n"/>
      <c r="D393" s="56" t="n"/>
    </row>
    <row r="394">
      <c r="A394" s="56" t="n"/>
      <c r="B394" s="58" t="n"/>
      <c r="C394" s="59" t="n"/>
      <c r="D394" s="56" t="n"/>
    </row>
    <row r="395">
      <c r="A395" s="56" t="n"/>
      <c r="B395" s="58" t="n"/>
      <c r="C395" s="59" t="n"/>
      <c r="D395" s="56" t="n"/>
    </row>
    <row r="396">
      <c r="A396" s="56" t="n"/>
      <c r="B396" s="58" t="n"/>
      <c r="C396" s="59" t="n"/>
      <c r="D396" s="56" t="n"/>
    </row>
    <row r="397">
      <c r="A397" s="56" t="n"/>
      <c r="B397" s="58" t="n"/>
      <c r="C397" s="59" t="n"/>
      <c r="D397" s="56" t="n"/>
    </row>
    <row r="398">
      <c r="A398" s="56" t="n"/>
      <c r="B398" s="58" t="n"/>
      <c r="C398" s="59" t="n"/>
      <c r="D398" s="56" t="n"/>
    </row>
    <row r="399">
      <c r="A399" s="56" t="n"/>
      <c r="B399" s="58" t="n"/>
      <c r="C399" s="59" t="n"/>
      <c r="D399" s="56" t="n"/>
    </row>
    <row r="400">
      <c r="A400" s="56" t="n"/>
      <c r="B400" s="58" t="n"/>
      <c r="C400" s="59" t="n"/>
      <c r="D400" s="56" t="n"/>
    </row>
    <row r="401">
      <c r="A401" s="56" t="n"/>
      <c r="B401" s="58" t="n"/>
      <c r="C401" s="59" t="n"/>
      <c r="D401" s="56" t="n"/>
    </row>
    <row r="402">
      <c r="A402" s="56" t="n"/>
      <c r="B402" s="58" t="n"/>
      <c r="C402" s="59" t="n"/>
      <c r="D402" s="56" t="n"/>
    </row>
    <row r="403">
      <c r="A403" s="56" t="n"/>
      <c r="B403" s="58" t="n"/>
      <c r="C403" s="59" t="n"/>
      <c r="D403" s="56" t="n"/>
    </row>
    <row r="404">
      <c r="A404" s="56" t="n"/>
      <c r="B404" s="58" t="n"/>
      <c r="C404" s="59" t="n"/>
      <c r="D404" s="56" t="n"/>
    </row>
    <row r="405">
      <c r="A405" s="56" t="n"/>
      <c r="B405" s="58" t="n"/>
      <c r="C405" s="59" t="n"/>
      <c r="D405" s="56" t="n"/>
    </row>
    <row r="406">
      <c r="A406" s="56" t="n"/>
      <c r="B406" s="58" t="n"/>
      <c r="C406" s="59" t="n"/>
      <c r="D406" s="56" t="n"/>
    </row>
    <row r="407">
      <c r="A407" s="56" t="n"/>
      <c r="B407" s="58" t="n"/>
      <c r="C407" s="59" t="n"/>
      <c r="D407" s="56" t="n"/>
    </row>
    <row r="408">
      <c r="A408" s="56" t="n"/>
      <c r="B408" s="58" t="n"/>
      <c r="C408" s="59" t="n"/>
      <c r="D408" s="56" t="n"/>
    </row>
    <row r="409">
      <c r="A409" s="56" t="n"/>
      <c r="B409" s="58" t="n"/>
      <c r="C409" s="59" t="n"/>
      <c r="D409" s="56" t="n"/>
    </row>
    <row r="410">
      <c r="A410" s="56" t="n"/>
      <c r="B410" s="58" t="n"/>
      <c r="C410" s="59" t="n"/>
      <c r="D410" s="56" t="n"/>
    </row>
    <row r="411">
      <c r="A411" s="56" t="n"/>
      <c r="B411" s="58" t="n"/>
      <c r="C411" s="59" t="n"/>
      <c r="D411" s="56" t="n"/>
    </row>
    <row r="412">
      <c r="A412" s="56" t="n"/>
      <c r="B412" s="58" t="n"/>
      <c r="C412" s="59" t="n"/>
      <c r="D412" s="56" t="n"/>
    </row>
    <row r="413">
      <c r="A413" s="56" t="n"/>
      <c r="B413" s="58" t="n"/>
      <c r="C413" s="59" t="n"/>
      <c r="D413" s="56" t="n"/>
    </row>
    <row r="414">
      <c r="A414" s="56" t="n"/>
      <c r="B414" s="58" t="n"/>
      <c r="C414" s="59" t="n"/>
      <c r="D414" s="56" t="n"/>
    </row>
    <row r="415">
      <c r="A415" s="56" t="n"/>
      <c r="B415" s="58" t="n"/>
      <c r="C415" s="59" t="n"/>
      <c r="D415" s="56" t="n"/>
    </row>
    <row r="416">
      <c r="A416" s="56" t="n"/>
      <c r="B416" s="58" t="n"/>
      <c r="C416" s="59" t="n"/>
      <c r="D416" s="56" t="n"/>
    </row>
    <row r="417">
      <c r="A417" s="56" t="n"/>
      <c r="B417" s="58" t="n"/>
      <c r="C417" s="59" t="n"/>
      <c r="D417" s="56" t="n"/>
    </row>
    <row r="418">
      <c r="A418" s="56" t="n"/>
      <c r="B418" s="58" t="n"/>
      <c r="C418" s="59" t="n"/>
      <c r="D418" s="56" t="n"/>
    </row>
    <row r="419">
      <c r="A419" s="56" t="n"/>
      <c r="B419" s="58" t="n"/>
      <c r="C419" s="59" t="n"/>
      <c r="D419" s="56" t="n"/>
    </row>
    <row r="420">
      <c r="A420" s="56" t="n"/>
      <c r="B420" s="58" t="n"/>
      <c r="C420" s="59" t="n"/>
      <c r="D420" s="56" t="n"/>
    </row>
    <row r="421">
      <c r="A421" s="56" t="n"/>
      <c r="B421" s="58" t="n"/>
      <c r="C421" s="59" t="n"/>
      <c r="D421" s="56" t="n"/>
    </row>
    <row r="422">
      <c r="A422" s="56" t="n"/>
      <c r="B422" s="58" t="n"/>
      <c r="C422" s="59" t="n"/>
      <c r="D422" s="56" t="n"/>
    </row>
    <row r="423">
      <c r="A423" s="56" t="n"/>
      <c r="B423" s="58" t="n"/>
      <c r="C423" s="59" t="n"/>
      <c r="D423" s="56" t="n"/>
    </row>
    <row r="424">
      <c r="A424" s="56" t="n"/>
      <c r="B424" s="58" t="n"/>
      <c r="C424" s="59" t="n"/>
      <c r="D424" s="56" t="n"/>
    </row>
    <row r="425">
      <c r="A425" s="56" t="n"/>
      <c r="B425" s="58" t="n"/>
      <c r="C425" s="59" t="n"/>
      <c r="D425" s="56" t="n"/>
    </row>
    <row r="426">
      <c r="A426" s="56" t="n"/>
      <c r="B426" s="58" t="n"/>
      <c r="C426" s="59" t="n"/>
      <c r="D426" s="56" t="n"/>
    </row>
    <row r="427">
      <c r="A427" s="56" t="n"/>
      <c r="B427" s="58" t="n"/>
      <c r="C427" s="59" t="n"/>
      <c r="D427" s="56" t="n"/>
    </row>
    <row r="428">
      <c r="A428" s="56" t="n"/>
      <c r="B428" s="58" t="n"/>
      <c r="C428" s="59" t="n"/>
      <c r="D428" s="56" t="n"/>
    </row>
    <row r="429">
      <c r="A429" s="56" t="n"/>
      <c r="B429" s="58" t="n"/>
      <c r="C429" s="59" t="n"/>
      <c r="D429" s="56" t="n"/>
    </row>
    <row r="430">
      <c r="A430" s="56" t="n"/>
      <c r="B430" s="58" t="n"/>
      <c r="C430" s="59" t="n"/>
      <c r="D430" s="56" t="n"/>
    </row>
    <row r="431">
      <c r="A431" s="56" t="n"/>
      <c r="B431" s="58" t="n"/>
      <c r="C431" s="59" t="n"/>
      <c r="D431" s="56" t="n"/>
    </row>
    <row r="432">
      <c r="A432" s="56" t="n"/>
      <c r="B432" s="58" t="n"/>
      <c r="C432" s="59" t="n"/>
      <c r="D432" s="56" t="n"/>
    </row>
    <row r="433">
      <c r="A433" s="56" t="n"/>
      <c r="B433" s="58" t="n"/>
      <c r="C433" s="59" t="n"/>
      <c r="D433" s="56" t="n"/>
    </row>
    <row r="434">
      <c r="A434" s="56" t="n"/>
      <c r="B434" s="58" t="n"/>
      <c r="C434" s="59" t="n"/>
      <c r="D434" s="56" t="n"/>
    </row>
    <row r="435">
      <c r="A435" s="56" t="n"/>
      <c r="B435" s="58" t="n"/>
      <c r="C435" s="59" t="n"/>
      <c r="D435" s="56" t="n"/>
    </row>
    <row r="436">
      <c r="A436" s="56" t="n"/>
      <c r="B436" s="58" t="n"/>
      <c r="C436" s="59" t="n"/>
      <c r="D436" s="56" t="n"/>
    </row>
    <row r="437">
      <c r="A437" s="56" t="n"/>
      <c r="B437" s="58" t="n"/>
      <c r="C437" s="59" t="n"/>
      <c r="D437" s="56" t="n"/>
    </row>
    <row r="438">
      <c r="A438" s="56" t="n"/>
      <c r="B438" s="58" t="n"/>
      <c r="C438" s="59" t="n"/>
      <c r="D438" s="56" t="n"/>
    </row>
    <row r="439">
      <c r="A439" s="56" t="n"/>
      <c r="B439" s="58" t="n"/>
      <c r="C439" s="59" t="n"/>
      <c r="D439" s="56" t="n"/>
    </row>
    <row r="440">
      <c r="A440" s="56" t="n"/>
      <c r="B440" s="58" t="n"/>
      <c r="C440" s="59" t="n"/>
      <c r="D440" s="56" t="n"/>
    </row>
    <row r="441">
      <c r="A441" s="56" t="n"/>
      <c r="B441" s="58" t="n"/>
      <c r="C441" s="59" t="n"/>
      <c r="D441" s="56" t="n"/>
    </row>
    <row r="442">
      <c r="A442" s="56" t="n"/>
      <c r="B442" s="58" t="n"/>
      <c r="C442" s="59" t="n"/>
      <c r="D442" s="56" t="n"/>
    </row>
    <row r="443">
      <c r="A443" s="56" t="n"/>
      <c r="B443" s="58" t="n"/>
      <c r="C443" s="59" t="n"/>
      <c r="D443" s="56" t="n"/>
    </row>
    <row r="444">
      <c r="A444" s="56" t="n"/>
      <c r="B444" s="58" t="n"/>
      <c r="C444" s="59" t="n"/>
      <c r="D444" s="56" t="n"/>
    </row>
    <row r="445">
      <c r="A445" s="56" t="n"/>
      <c r="B445" s="58" t="n"/>
      <c r="C445" s="59" t="n"/>
      <c r="D445" s="56" t="n"/>
    </row>
    <row r="446">
      <c r="A446" s="56" t="n"/>
      <c r="B446" s="58" t="n"/>
      <c r="C446" s="59" t="n"/>
      <c r="D446" s="56" t="n"/>
    </row>
    <row r="447">
      <c r="A447" s="56" t="n"/>
      <c r="B447" s="58" t="n"/>
      <c r="C447" s="59" t="n"/>
      <c r="D447" s="56" t="n"/>
    </row>
    <row r="448">
      <c r="A448" s="56" t="n"/>
      <c r="B448" s="58" t="n"/>
      <c r="C448" s="59" t="n"/>
      <c r="D448" s="56" t="n"/>
    </row>
    <row r="449">
      <c r="A449" s="56" t="n"/>
      <c r="B449" s="58" t="n"/>
      <c r="C449" s="59" t="n"/>
      <c r="D449" s="56" t="n"/>
    </row>
    <row r="450">
      <c r="A450" s="56" t="n"/>
      <c r="B450" s="58" t="n"/>
      <c r="C450" s="59" t="n"/>
      <c r="D450" s="56" t="n"/>
    </row>
    <row r="451">
      <c r="A451" s="56" t="n"/>
      <c r="B451" s="58" t="n"/>
      <c r="C451" s="59" t="n"/>
      <c r="D451" s="56" t="n"/>
    </row>
    <row r="452">
      <c r="A452" s="56" t="n"/>
      <c r="B452" s="58" t="n"/>
      <c r="C452" s="59" t="n"/>
      <c r="D452" s="56" t="n"/>
    </row>
    <row r="453">
      <c r="A453" s="56" t="n"/>
      <c r="B453" s="58" t="n"/>
      <c r="C453" s="59" t="n"/>
      <c r="D453" s="56" t="n"/>
    </row>
    <row r="454">
      <c r="A454" s="56" t="n"/>
      <c r="B454" s="58" t="n"/>
      <c r="C454" s="59" t="n"/>
      <c r="D454" s="56" t="n"/>
    </row>
    <row r="455">
      <c r="A455" s="56" t="n"/>
      <c r="B455" s="58" t="n"/>
      <c r="C455" s="59" t="n"/>
      <c r="D455" s="56" t="n"/>
    </row>
    <row r="456">
      <c r="A456" s="56" t="n"/>
      <c r="B456" s="58" t="n"/>
      <c r="C456" s="59" t="n"/>
      <c r="D456" s="56" t="n"/>
    </row>
    <row r="457">
      <c r="A457" s="56" t="n"/>
      <c r="B457" s="58" t="n"/>
      <c r="C457" s="59" t="n"/>
      <c r="D457" s="56" t="n"/>
    </row>
    <row r="458">
      <c r="A458" s="56" t="n"/>
      <c r="B458" s="58" t="n"/>
      <c r="C458" s="59" t="n"/>
      <c r="D458" s="56" t="n"/>
    </row>
    <row r="459">
      <c r="A459" s="56" t="n"/>
      <c r="B459" s="58" t="n"/>
      <c r="C459" s="59" t="n"/>
      <c r="D459" s="56" t="n"/>
    </row>
    <row r="460">
      <c r="A460" s="56" t="n"/>
      <c r="B460" s="58" t="n"/>
      <c r="C460" s="59" t="n"/>
      <c r="D460" s="56" t="n"/>
    </row>
    <row r="461">
      <c r="A461" s="56" t="n"/>
      <c r="B461" s="58" t="n"/>
      <c r="C461" s="59" t="n"/>
      <c r="D461" s="56" t="n"/>
    </row>
    <row r="462">
      <c r="A462" s="56" t="n"/>
      <c r="B462" s="58" t="n"/>
      <c r="C462" s="59" t="n"/>
      <c r="D462" s="56" t="n"/>
    </row>
    <row r="463">
      <c r="A463" s="56" t="n"/>
      <c r="B463" s="58" t="n"/>
      <c r="C463" s="59" t="n"/>
      <c r="D463" s="56" t="n"/>
    </row>
    <row r="464">
      <c r="A464" s="56" t="n"/>
      <c r="B464" s="58" t="n"/>
      <c r="C464" s="59" t="n"/>
      <c r="D464" s="56" t="n"/>
    </row>
    <row r="465">
      <c r="A465" s="56" t="n"/>
      <c r="B465" s="58" t="n"/>
      <c r="C465" s="59" t="n"/>
      <c r="D465" s="56" t="n"/>
    </row>
    <row r="466">
      <c r="A466" s="56" t="n"/>
      <c r="B466" s="58" t="n"/>
      <c r="C466" s="59" t="n"/>
      <c r="D466" s="56" t="n"/>
    </row>
    <row r="467">
      <c r="A467" s="56" t="n"/>
      <c r="B467" s="58" t="n"/>
      <c r="C467" s="59" t="n"/>
      <c r="D467" s="56" t="n"/>
    </row>
    <row r="468">
      <c r="A468" s="56" t="n"/>
      <c r="B468" s="58" t="n"/>
      <c r="C468" s="59" t="n"/>
      <c r="D468" s="56" t="n"/>
    </row>
    <row r="469">
      <c r="A469" s="56" t="n"/>
      <c r="B469" s="58" t="n"/>
      <c r="C469" s="59" t="n"/>
      <c r="D469" s="56" t="n"/>
    </row>
    <row r="470">
      <c r="A470" s="56" t="n"/>
      <c r="B470" s="58" t="n"/>
      <c r="C470" s="59" t="n"/>
      <c r="D470" s="56" t="n"/>
    </row>
    <row r="471">
      <c r="A471" s="56" t="n"/>
      <c r="B471" s="58" t="n"/>
      <c r="C471" s="59" t="n"/>
      <c r="D471" s="56" t="n"/>
    </row>
    <row r="472">
      <c r="A472" s="56" t="n"/>
      <c r="B472" s="58" t="n"/>
      <c r="C472" s="59" t="n"/>
      <c r="D472" s="56" t="n"/>
    </row>
    <row r="473">
      <c r="A473" s="56" t="n"/>
      <c r="B473" s="58" t="n"/>
      <c r="C473" s="59" t="n"/>
      <c r="D473" s="56" t="n"/>
    </row>
    <row r="474">
      <c r="A474" s="56" t="n"/>
      <c r="B474" s="58" t="n"/>
      <c r="C474" s="59" t="n"/>
      <c r="D474" s="56" t="n"/>
    </row>
    <row r="475">
      <c r="A475" s="56" t="n"/>
      <c r="B475" s="58" t="n"/>
      <c r="C475" s="59" t="n"/>
      <c r="D475" s="56" t="n"/>
    </row>
    <row r="476">
      <c r="A476" s="56" t="n"/>
      <c r="B476" s="58" t="n"/>
      <c r="C476" s="59" t="n"/>
      <c r="D476" s="56" t="n"/>
    </row>
    <row r="477">
      <c r="A477" s="56" t="n"/>
      <c r="B477" s="58" t="n"/>
      <c r="C477" s="59" t="n"/>
      <c r="D477" s="56" t="n"/>
    </row>
    <row r="478">
      <c r="A478" s="56" t="n"/>
      <c r="B478" s="58" t="n"/>
      <c r="C478" s="59" t="n"/>
      <c r="D478" s="56" t="n"/>
    </row>
    <row r="479">
      <c r="A479" s="56" t="n"/>
      <c r="B479" s="58" t="n"/>
      <c r="C479" s="59" t="n"/>
      <c r="D479" s="56" t="n"/>
    </row>
    <row r="480">
      <c r="A480" s="56" t="n"/>
      <c r="B480" s="58" t="n"/>
      <c r="C480" s="59" t="n"/>
      <c r="D480" s="56" t="n"/>
    </row>
    <row r="481">
      <c r="A481" s="56" t="n"/>
      <c r="B481" s="58" t="n"/>
      <c r="C481" s="59" t="n"/>
      <c r="D481" s="56" t="n"/>
    </row>
    <row r="482">
      <c r="A482" s="56" t="n"/>
      <c r="B482" s="58" t="n"/>
      <c r="C482" s="59" t="n"/>
      <c r="D482" s="56" t="n"/>
    </row>
    <row r="483">
      <c r="A483" s="56" t="n"/>
      <c r="B483" s="58" t="n"/>
      <c r="C483" s="59" t="n"/>
      <c r="D483" s="56" t="n"/>
    </row>
    <row r="484">
      <c r="A484" s="56" t="n"/>
      <c r="B484" s="58" t="n"/>
      <c r="C484" s="59" t="n"/>
      <c r="D484" s="56" t="n"/>
    </row>
    <row r="485">
      <c r="A485" s="56" t="n"/>
      <c r="B485" s="58" t="n"/>
      <c r="C485" s="59" t="n"/>
      <c r="D485" s="56" t="n"/>
    </row>
    <row r="486">
      <c r="A486" s="56" t="n"/>
      <c r="B486" s="58" t="n"/>
      <c r="C486" s="59" t="n"/>
      <c r="D486" s="56" t="n"/>
    </row>
    <row r="487">
      <c r="A487" s="56" t="n"/>
      <c r="B487" s="58" t="n"/>
      <c r="C487" s="59" t="n"/>
      <c r="D487" s="56" t="n"/>
    </row>
    <row r="488">
      <c r="A488" s="56" t="n"/>
      <c r="B488" s="58" t="n"/>
      <c r="C488" s="59" t="n"/>
      <c r="D488" s="56" t="n"/>
    </row>
    <row r="489">
      <c r="A489" s="56" t="n"/>
      <c r="B489" s="58" t="n"/>
      <c r="C489" s="59" t="n"/>
      <c r="D489" s="56" t="n"/>
    </row>
    <row r="490">
      <c r="A490" s="56" t="n"/>
      <c r="B490" s="58" t="n"/>
      <c r="C490" s="59" t="n"/>
      <c r="D490" s="56" t="n"/>
    </row>
    <row r="491">
      <c r="A491" s="56" t="n"/>
      <c r="B491" s="58" t="n"/>
      <c r="C491" s="59" t="n"/>
      <c r="D491" s="56" t="n"/>
    </row>
    <row r="492">
      <c r="A492" s="56" t="n"/>
      <c r="B492" s="58" t="n"/>
      <c r="C492" s="59" t="n"/>
      <c r="D492" s="56" t="n"/>
    </row>
    <row r="493">
      <c r="A493" s="56" t="n"/>
      <c r="B493" s="58" t="n"/>
      <c r="C493" s="59" t="n"/>
      <c r="D493" s="56" t="n"/>
    </row>
    <row r="494">
      <c r="A494" s="56" t="n"/>
      <c r="B494" s="58" t="n"/>
      <c r="C494" s="59" t="n"/>
      <c r="D494" s="56" t="n"/>
    </row>
    <row r="495">
      <c r="A495" s="56" t="n"/>
      <c r="B495" s="58" t="n"/>
      <c r="C495" s="59" t="n"/>
      <c r="D495" s="56" t="n"/>
    </row>
    <row r="496">
      <c r="A496" s="56" t="n"/>
      <c r="B496" s="58" t="n"/>
      <c r="C496" s="59" t="n"/>
      <c r="D496" s="56" t="n"/>
    </row>
    <row r="497">
      <c r="A497" s="56" t="n"/>
      <c r="B497" s="58" t="n"/>
      <c r="C497" s="59" t="n"/>
      <c r="D497" s="56" t="n"/>
    </row>
    <row r="498">
      <c r="A498" s="56" t="n"/>
      <c r="B498" s="58" t="n"/>
      <c r="C498" s="59" t="n"/>
      <c r="D498" s="56" t="n"/>
    </row>
    <row r="499">
      <c r="A499" s="56" t="n"/>
      <c r="B499" s="58" t="n"/>
      <c r="C499" s="59" t="n"/>
      <c r="D499" s="56" t="n"/>
    </row>
    <row r="500">
      <c r="A500" s="56" t="n"/>
      <c r="B500" s="58" t="n"/>
      <c r="C500" s="59" t="n"/>
      <c r="D500" s="56" t="n"/>
    </row>
    <row r="501">
      <c r="A501" s="56" t="n"/>
      <c r="B501" s="58" t="n"/>
      <c r="C501" s="59" t="n"/>
      <c r="D501" s="56" t="n"/>
    </row>
    <row r="502">
      <c r="A502" s="56" t="n"/>
      <c r="B502" s="58" t="n"/>
      <c r="C502" s="59" t="n"/>
      <c r="D502" s="56" t="n"/>
    </row>
    <row r="503">
      <c r="A503" s="56" t="n"/>
      <c r="B503" s="58" t="n"/>
      <c r="C503" s="59" t="n"/>
      <c r="D503" s="56" t="n"/>
    </row>
    <row r="504">
      <c r="A504" s="56" t="n"/>
      <c r="B504" s="58" t="n"/>
      <c r="C504" s="59" t="n"/>
      <c r="D504" s="56" t="n"/>
    </row>
    <row r="505">
      <c r="A505" s="56" t="n"/>
      <c r="B505" s="58" t="n"/>
      <c r="C505" s="59" t="n"/>
      <c r="D505" s="56" t="n"/>
    </row>
    <row r="506">
      <c r="A506" s="56" t="n"/>
      <c r="B506" s="58" t="n"/>
      <c r="C506" s="59" t="n"/>
      <c r="D506" s="56" t="n"/>
    </row>
    <row r="507">
      <c r="A507" s="56" t="n"/>
      <c r="B507" s="58" t="n"/>
      <c r="C507" s="59" t="n"/>
      <c r="D507" s="56" t="n"/>
    </row>
    <row r="508">
      <c r="A508" s="56" t="n"/>
      <c r="B508" s="58" t="n"/>
      <c r="C508" s="59" t="n"/>
      <c r="D508" s="56" t="n"/>
    </row>
    <row r="509">
      <c r="A509" s="56" t="n"/>
      <c r="B509" s="58" t="n"/>
      <c r="C509" s="59" t="n"/>
      <c r="D509" s="56" t="n"/>
    </row>
    <row r="510">
      <c r="A510" s="56" t="n"/>
      <c r="B510" s="58" t="n"/>
      <c r="C510" s="59" t="n"/>
      <c r="D510" s="56" t="n"/>
    </row>
    <row r="511">
      <c r="A511" s="56" t="n"/>
      <c r="B511" s="58" t="n"/>
      <c r="C511" s="59" t="n"/>
      <c r="D511" s="56" t="n"/>
    </row>
    <row r="512">
      <c r="A512" s="56" t="n"/>
      <c r="B512" s="58" t="n"/>
      <c r="C512" s="59" t="n"/>
      <c r="D512" s="56" t="n"/>
    </row>
    <row r="513">
      <c r="A513" s="56" t="n"/>
      <c r="B513" s="58" t="n"/>
      <c r="C513" s="59" t="n"/>
      <c r="D513" s="56" t="n"/>
    </row>
    <row r="514">
      <c r="A514" s="56" t="n"/>
      <c r="B514" s="58" t="n"/>
      <c r="C514" s="59" t="n"/>
      <c r="D514" s="56" t="n"/>
    </row>
    <row r="515">
      <c r="A515" s="56" t="n"/>
      <c r="B515" s="58" t="n"/>
      <c r="C515" s="59" t="n"/>
      <c r="D515" s="56" t="n"/>
    </row>
    <row r="516">
      <c r="A516" s="56" t="n"/>
      <c r="B516" s="58" t="n"/>
      <c r="C516" s="59" t="n"/>
      <c r="D516" s="56" t="n"/>
    </row>
    <row r="517">
      <c r="A517" s="56" t="n"/>
      <c r="B517" s="58" t="n"/>
      <c r="C517" s="59" t="n"/>
      <c r="D517" s="56" t="n"/>
    </row>
    <row r="518">
      <c r="A518" s="56" t="n"/>
      <c r="B518" s="58" t="n"/>
      <c r="C518" s="59" t="n"/>
      <c r="D518" s="56" t="n"/>
    </row>
    <row r="519">
      <c r="A519" s="56" t="n"/>
      <c r="B519" s="58" t="n"/>
      <c r="C519" s="59" t="n"/>
      <c r="D519" s="56" t="n"/>
    </row>
    <row r="520">
      <c r="A520" s="56" t="n"/>
      <c r="B520" s="58" t="n"/>
      <c r="C520" s="59" t="n"/>
      <c r="D520" s="56" t="n"/>
    </row>
    <row r="521">
      <c r="A521" s="56" t="n"/>
      <c r="B521" s="58" t="n"/>
      <c r="C521" s="59" t="n"/>
      <c r="D521" s="56" t="n"/>
    </row>
    <row r="522">
      <c r="A522" s="56" t="n"/>
      <c r="B522" s="58" t="n"/>
      <c r="C522" s="59" t="n"/>
      <c r="D522" s="56" t="n"/>
    </row>
    <row r="523">
      <c r="A523" s="56" t="n"/>
      <c r="B523" s="58" t="n"/>
      <c r="C523" s="59" t="n"/>
      <c r="D523" s="56" t="n"/>
    </row>
    <row r="524">
      <c r="A524" s="56" t="n"/>
      <c r="B524" s="58" t="n"/>
      <c r="C524" s="59" t="n"/>
      <c r="D524" s="56" t="n"/>
    </row>
    <row r="525">
      <c r="A525" s="56" t="n"/>
      <c r="B525" s="58" t="n"/>
      <c r="C525" s="59" t="n"/>
      <c r="D525" s="56" t="n"/>
    </row>
    <row r="526">
      <c r="A526" s="56" t="n"/>
      <c r="B526" s="58" t="n"/>
      <c r="C526" s="59" t="n"/>
      <c r="D526" s="56" t="n"/>
    </row>
    <row r="527">
      <c r="A527" s="56" t="n"/>
      <c r="B527" s="58" t="n"/>
      <c r="C527" s="59" t="n"/>
      <c r="D527" s="56" t="n"/>
    </row>
    <row r="528">
      <c r="A528" s="56" t="n"/>
      <c r="B528" s="58" t="n"/>
      <c r="C528" s="59" t="n"/>
      <c r="D528" s="56" t="n"/>
    </row>
    <row r="529">
      <c r="A529" s="56" t="n"/>
      <c r="B529" s="58" t="n"/>
      <c r="C529" s="59" t="n"/>
      <c r="D529" s="56" t="n"/>
    </row>
    <row r="530">
      <c r="A530" s="56" t="n"/>
      <c r="B530" s="58" t="n"/>
      <c r="C530" s="59" t="n"/>
      <c r="D530" s="56" t="n"/>
    </row>
    <row r="531">
      <c r="A531" s="56" t="n"/>
      <c r="B531" s="58" t="n"/>
      <c r="C531" s="59" t="n"/>
      <c r="D531" s="56" t="n"/>
    </row>
    <row r="532">
      <c r="A532" s="56" t="n"/>
      <c r="B532" s="58" t="n"/>
      <c r="C532" s="59" t="n"/>
      <c r="D532" s="56" t="n"/>
    </row>
    <row r="533">
      <c r="A533" s="56" t="n"/>
      <c r="B533" s="58" t="n"/>
      <c r="C533" s="59" t="n"/>
      <c r="D533" s="56" t="n"/>
    </row>
    <row r="534">
      <c r="A534" s="56" t="n"/>
      <c r="B534" s="58" t="n"/>
      <c r="C534" s="59" t="n"/>
      <c r="D534" s="56" t="n"/>
    </row>
    <row r="535">
      <c r="A535" s="56" t="n"/>
      <c r="B535" s="58" t="n"/>
      <c r="C535" s="59" t="n"/>
      <c r="D535" s="56" t="n"/>
    </row>
    <row r="536">
      <c r="A536" s="56" t="n"/>
      <c r="B536" s="58" t="n"/>
      <c r="C536" s="59" t="n"/>
      <c r="D536" s="56" t="n"/>
    </row>
    <row r="537">
      <c r="A537" s="56" t="n"/>
      <c r="B537" s="58" t="n"/>
      <c r="C537" s="59" t="n"/>
      <c r="D537" s="56" t="n"/>
    </row>
    <row r="538">
      <c r="A538" s="56" t="n"/>
      <c r="B538" s="58" t="n"/>
      <c r="C538" s="59" t="n"/>
      <c r="D538" s="56" t="n"/>
    </row>
    <row r="539">
      <c r="A539" s="56" t="n"/>
      <c r="B539" s="58" t="n"/>
      <c r="C539" s="59" t="n"/>
      <c r="D539" s="56" t="n"/>
    </row>
    <row r="540">
      <c r="A540" s="56" t="n"/>
      <c r="B540" s="58" t="n"/>
      <c r="C540" s="59" t="n"/>
      <c r="D540" s="56" t="n"/>
    </row>
    <row r="541">
      <c r="A541" s="56" t="n"/>
      <c r="B541" s="58" t="n"/>
      <c r="C541" s="59" t="n"/>
      <c r="D541" s="56" t="n"/>
    </row>
    <row r="542">
      <c r="A542" s="56" t="n"/>
      <c r="B542" s="58" t="n"/>
      <c r="C542" s="59" t="n"/>
      <c r="D542" s="56" t="n"/>
    </row>
    <row r="543">
      <c r="A543" s="56" t="n"/>
      <c r="B543" s="58" t="n"/>
      <c r="C543" s="59" t="n"/>
      <c r="D543" s="56" t="n"/>
    </row>
    <row r="544">
      <c r="A544" s="56" t="n"/>
      <c r="B544" s="58" t="n"/>
      <c r="C544" s="59" t="n"/>
      <c r="D544" s="56" t="n"/>
    </row>
    <row r="545">
      <c r="A545" s="56" t="n"/>
      <c r="B545" s="58" t="n"/>
      <c r="C545" s="59" t="n"/>
      <c r="D545" s="56" t="n"/>
    </row>
    <row r="546">
      <c r="A546" s="56" t="n"/>
      <c r="B546" s="58" t="n"/>
      <c r="C546" s="59" t="n"/>
      <c r="D546" s="56" t="n"/>
    </row>
    <row r="547">
      <c r="A547" s="56" t="n"/>
      <c r="B547" s="58" t="n"/>
      <c r="C547" s="59" t="n"/>
      <c r="D547" s="56" t="n"/>
    </row>
    <row r="548">
      <c r="A548" s="56" t="n"/>
      <c r="B548" s="58" t="n"/>
      <c r="C548" s="59" t="n"/>
      <c r="D548" s="56" t="n"/>
    </row>
    <row r="549">
      <c r="A549" s="56" t="n"/>
      <c r="B549" s="58" t="n"/>
      <c r="C549" s="59" t="n"/>
      <c r="D549" s="56" t="n"/>
    </row>
    <row r="550">
      <c r="A550" s="56" t="n"/>
      <c r="B550" s="58" t="n"/>
      <c r="C550" s="59" t="n"/>
      <c r="D550" s="56" t="n"/>
    </row>
    <row r="551">
      <c r="A551" s="56" t="n"/>
      <c r="B551" s="58" t="n"/>
      <c r="C551" s="59" t="n"/>
      <c r="D551" s="56" t="n"/>
    </row>
    <row r="552">
      <c r="A552" s="56" t="n"/>
      <c r="B552" s="58" t="n"/>
      <c r="C552" s="59" t="n"/>
      <c r="D552" s="56" t="n"/>
    </row>
    <row r="553">
      <c r="A553" s="56" t="n"/>
      <c r="B553" s="58" t="n"/>
      <c r="C553" s="59" t="n"/>
      <c r="D553" s="56" t="n"/>
    </row>
    <row r="554">
      <c r="A554" s="56" t="n"/>
      <c r="B554" s="58" t="n"/>
      <c r="C554" s="59" t="n"/>
      <c r="D554" s="56" t="n"/>
    </row>
    <row r="555">
      <c r="A555" s="56" t="n"/>
      <c r="B555" s="58" t="n"/>
      <c r="C555" s="59" t="n"/>
      <c r="D555" s="56" t="n"/>
    </row>
    <row r="556">
      <c r="A556" s="56" t="n"/>
      <c r="B556" s="58" t="n"/>
      <c r="C556" s="59" t="n"/>
      <c r="D556" s="56" t="n"/>
    </row>
    <row r="557">
      <c r="A557" s="56" t="n"/>
      <c r="B557" s="58" t="n"/>
      <c r="C557" s="59" t="n"/>
      <c r="D557" s="56" t="n"/>
    </row>
    <row r="558">
      <c r="A558" s="56" t="n"/>
      <c r="B558" s="58" t="n"/>
      <c r="C558" s="59" t="n"/>
      <c r="D558" s="56" t="n"/>
    </row>
    <row r="559">
      <c r="A559" s="56" t="n"/>
      <c r="B559" s="58" t="n"/>
      <c r="C559" s="59" t="n"/>
      <c r="D559" s="56" t="n"/>
    </row>
    <row r="560">
      <c r="A560" s="56" t="n"/>
      <c r="B560" s="58" t="n"/>
      <c r="C560" s="59" t="n"/>
      <c r="D560" s="56" t="n"/>
    </row>
    <row r="561">
      <c r="A561" s="56" t="n"/>
      <c r="B561" s="58" t="n"/>
      <c r="C561" s="59" t="n"/>
      <c r="D561" s="56" t="n"/>
    </row>
    <row r="562">
      <c r="A562" s="56" t="n"/>
      <c r="B562" s="58" t="n"/>
      <c r="C562" s="59" t="n"/>
      <c r="D562" s="56" t="n"/>
    </row>
    <row r="563">
      <c r="A563" s="56" t="n"/>
      <c r="B563" s="58" t="n"/>
      <c r="C563" s="59" t="n"/>
      <c r="D563" s="56" t="n"/>
    </row>
    <row r="564">
      <c r="A564" s="56" t="n"/>
      <c r="B564" s="58" t="n"/>
      <c r="C564" s="59" t="n"/>
      <c r="D564" s="56" t="n"/>
    </row>
    <row r="565">
      <c r="A565" s="56" t="n"/>
      <c r="B565" s="58" t="n"/>
      <c r="C565" s="59" t="n"/>
      <c r="D565" s="56" t="n"/>
    </row>
    <row r="566">
      <c r="A566" s="56" t="n"/>
      <c r="B566" s="58" t="n"/>
      <c r="C566" s="59" t="n"/>
      <c r="D566" s="56" t="n"/>
    </row>
    <row r="567">
      <c r="A567" s="56" t="n"/>
      <c r="B567" s="58" t="n"/>
      <c r="C567" s="59" t="n"/>
      <c r="D567" s="56" t="n"/>
    </row>
    <row r="568">
      <c r="A568" s="56" t="n"/>
      <c r="B568" s="58" t="n"/>
      <c r="C568" s="59" t="n"/>
      <c r="D568" s="56" t="n"/>
    </row>
    <row r="569">
      <c r="A569" s="56" t="n"/>
      <c r="B569" s="58" t="n"/>
      <c r="C569" s="59" t="n"/>
      <c r="D569" s="56" t="n"/>
    </row>
    <row r="570">
      <c r="A570" s="56" t="n"/>
      <c r="B570" s="58" t="n"/>
      <c r="C570" s="59" t="n"/>
      <c r="D570" s="56" t="n"/>
    </row>
    <row r="571">
      <c r="A571" s="56" t="n"/>
      <c r="B571" s="58" t="n"/>
      <c r="C571" s="59" t="n"/>
      <c r="D571" s="56" t="n"/>
    </row>
    <row r="572">
      <c r="A572" s="56" t="n"/>
      <c r="B572" s="58" t="n"/>
      <c r="C572" s="59" t="n"/>
      <c r="D572" s="56" t="n"/>
    </row>
    <row r="573">
      <c r="A573" s="56" t="n"/>
      <c r="B573" s="58" t="n"/>
      <c r="C573" s="59" t="n"/>
      <c r="D573" s="56" t="n"/>
    </row>
    <row r="574">
      <c r="A574" s="56" t="n"/>
      <c r="B574" s="58" t="n"/>
      <c r="C574" s="59" t="n"/>
      <c r="D574" s="56" t="n"/>
    </row>
    <row r="575">
      <c r="A575" s="56" t="n"/>
      <c r="B575" s="58" t="n"/>
      <c r="C575" s="59" t="n"/>
      <c r="D575" s="56" t="n"/>
    </row>
    <row r="576">
      <c r="A576" s="56" t="n"/>
      <c r="B576" s="58" t="n"/>
      <c r="C576" s="59" t="n"/>
      <c r="D576" s="56" t="n"/>
    </row>
    <row r="577">
      <c r="A577" s="56" t="n"/>
      <c r="B577" s="58" t="n"/>
      <c r="C577" s="59" t="n"/>
      <c r="D577" s="56" t="n"/>
    </row>
    <row r="578">
      <c r="A578" s="56" t="n"/>
      <c r="B578" s="58" t="n"/>
      <c r="C578" s="59" t="n"/>
      <c r="D578" s="56" t="n"/>
    </row>
    <row r="579">
      <c r="A579" s="56" t="n"/>
      <c r="B579" s="58" t="n"/>
      <c r="C579" s="59" t="n"/>
      <c r="D579" s="56" t="n"/>
    </row>
    <row r="580">
      <c r="A580" s="56" t="n"/>
      <c r="B580" s="58" t="n"/>
      <c r="C580" s="59" t="n"/>
      <c r="D580" s="56" t="n"/>
    </row>
    <row r="581">
      <c r="A581" s="56" t="n"/>
      <c r="B581" s="58" t="n"/>
      <c r="C581" s="59" t="n"/>
      <c r="D581" s="56" t="n"/>
    </row>
    <row r="582">
      <c r="A582" s="56" t="n"/>
      <c r="B582" s="58" t="n"/>
      <c r="C582" s="59" t="n"/>
      <c r="D582" s="56" t="n"/>
    </row>
    <row r="583">
      <c r="A583" s="56" t="n"/>
      <c r="B583" s="58" t="n"/>
      <c r="C583" s="59" t="n"/>
      <c r="D583" s="56" t="n"/>
    </row>
    <row r="584">
      <c r="A584" s="56" t="n"/>
      <c r="B584" s="58" t="n"/>
      <c r="C584" s="59" t="n"/>
      <c r="D584" s="56" t="n"/>
    </row>
    <row r="585">
      <c r="A585" s="56" t="n"/>
      <c r="B585" s="58" t="n"/>
      <c r="C585" s="59" t="n"/>
      <c r="D585" s="56" t="n"/>
    </row>
    <row r="586">
      <c r="A586" s="56" t="n"/>
      <c r="B586" s="58" t="n"/>
      <c r="C586" s="59" t="n"/>
      <c r="D586" s="56" t="n"/>
    </row>
    <row r="587">
      <c r="A587" s="56" t="n"/>
      <c r="B587" s="58" t="n"/>
      <c r="C587" s="59" t="n"/>
      <c r="D587" s="56" t="n"/>
    </row>
    <row r="588">
      <c r="A588" s="56" t="n"/>
      <c r="B588" s="58" t="n"/>
      <c r="C588" s="59" t="n"/>
      <c r="D588" s="56" t="n"/>
    </row>
    <row r="589">
      <c r="A589" s="56" t="n"/>
      <c r="B589" s="58" t="n"/>
      <c r="C589" s="59" t="n"/>
      <c r="D589" s="56" t="n"/>
    </row>
    <row r="590">
      <c r="A590" s="56" t="n"/>
      <c r="B590" s="58" t="n"/>
      <c r="C590" s="59" t="n"/>
      <c r="D590" s="56" t="n"/>
    </row>
    <row r="591">
      <c r="A591" s="56" t="n"/>
      <c r="B591" s="58" t="n"/>
      <c r="C591" s="59" t="n"/>
      <c r="D591" s="56" t="n"/>
    </row>
    <row r="592">
      <c r="A592" s="56" t="n"/>
      <c r="B592" s="58" t="n"/>
      <c r="C592" s="59" t="n"/>
      <c r="D592" s="56" t="n"/>
    </row>
    <row r="593">
      <c r="A593" s="56" t="n"/>
      <c r="B593" s="58" t="n"/>
      <c r="C593" s="59" t="n"/>
      <c r="D593" s="56" t="n"/>
    </row>
    <row r="594">
      <c r="A594" s="56" t="n"/>
      <c r="B594" s="58" t="n"/>
      <c r="C594" s="59" t="n"/>
      <c r="D594" s="56" t="n"/>
    </row>
    <row r="595">
      <c r="A595" s="56" t="n"/>
      <c r="B595" s="58" t="n"/>
      <c r="C595" s="59" t="n"/>
      <c r="D595" s="56" t="n"/>
    </row>
    <row r="596">
      <c r="A596" s="56" t="n"/>
      <c r="B596" s="58" t="n"/>
      <c r="C596" s="59" t="n"/>
      <c r="D596" s="56" t="n"/>
    </row>
    <row r="597">
      <c r="A597" s="56" t="n"/>
      <c r="B597" s="58" t="n"/>
      <c r="C597" s="59" t="n"/>
      <c r="D597" s="56" t="n"/>
    </row>
    <row r="598">
      <c r="A598" s="56" t="n"/>
      <c r="B598" s="58" t="n"/>
      <c r="C598" s="59" t="n"/>
      <c r="D598" s="56" t="n"/>
    </row>
    <row r="599">
      <c r="A599" s="56" t="n"/>
      <c r="B599" s="58" t="n"/>
      <c r="C599" s="59" t="n"/>
      <c r="D599" s="56" t="n"/>
    </row>
    <row r="600">
      <c r="A600" s="56" t="n"/>
      <c r="B600" s="58" t="n"/>
      <c r="C600" s="59" t="n"/>
      <c r="D600" s="56" t="n"/>
    </row>
    <row r="601">
      <c r="A601" s="56" t="n"/>
      <c r="B601" s="58" t="n"/>
      <c r="C601" s="59" t="n"/>
      <c r="D601" s="56" t="n"/>
    </row>
    <row r="602">
      <c r="A602" s="56" t="n"/>
      <c r="B602" s="58" t="n"/>
      <c r="C602" s="59" t="n"/>
      <c r="D602" s="56" t="n"/>
    </row>
    <row r="603">
      <c r="A603" s="56" t="n"/>
      <c r="B603" s="58" t="n"/>
      <c r="C603" s="59" t="n"/>
      <c r="D603" s="56" t="n"/>
    </row>
    <row r="604">
      <c r="A604" s="56" t="n"/>
      <c r="B604" s="58" t="n"/>
      <c r="C604" s="59" t="n"/>
      <c r="D604" s="56" t="n"/>
    </row>
    <row r="605">
      <c r="A605" s="56" t="n"/>
      <c r="B605" s="58" t="n"/>
      <c r="C605" s="59" t="n"/>
      <c r="D605" s="56" t="n"/>
    </row>
    <row r="606">
      <c r="A606" s="56" t="n"/>
      <c r="B606" s="58" t="n"/>
      <c r="C606" s="59" t="n"/>
      <c r="D606" s="56" t="n"/>
    </row>
    <row r="607">
      <c r="A607" s="56" t="n"/>
      <c r="B607" s="58" t="n"/>
      <c r="C607" s="59" t="n"/>
      <c r="D607" s="56" t="n"/>
    </row>
    <row r="608">
      <c r="A608" s="56" t="n"/>
      <c r="B608" s="58" t="n"/>
      <c r="C608" s="59" t="n"/>
      <c r="D608" s="56" t="n"/>
    </row>
    <row r="609">
      <c r="A609" s="56" t="n"/>
      <c r="B609" s="58" t="n"/>
      <c r="C609" s="59" t="n"/>
      <c r="D609" s="56" t="n"/>
    </row>
    <row r="610">
      <c r="A610" s="56" t="n"/>
      <c r="B610" s="58" t="n"/>
      <c r="C610" s="59" t="n"/>
      <c r="D610" s="56" t="n"/>
    </row>
    <row r="611">
      <c r="A611" s="56" t="n"/>
      <c r="B611" s="58" t="n"/>
      <c r="C611" s="59" t="n"/>
      <c r="D611" s="56" t="n"/>
    </row>
    <row r="612">
      <c r="A612" s="56" t="n"/>
      <c r="B612" s="58" t="n"/>
      <c r="C612" s="59" t="n"/>
      <c r="D612" s="56" t="n"/>
    </row>
    <row r="613">
      <c r="A613" s="56" t="n"/>
      <c r="B613" s="58" t="n"/>
      <c r="C613" s="59" t="n"/>
      <c r="D613" s="56" t="n"/>
    </row>
    <row r="614">
      <c r="A614" s="56" t="n"/>
      <c r="B614" s="58" t="n"/>
      <c r="C614" s="59" t="n"/>
      <c r="D614" s="56" t="n"/>
    </row>
    <row r="615">
      <c r="A615" s="56" t="n"/>
      <c r="B615" s="58" t="n"/>
      <c r="C615" s="59" t="n"/>
      <c r="D615" s="56" t="n"/>
    </row>
    <row r="616">
      <c r="A616" s="56" t="n"/>
      <c r="B616" s="58" t="n"/>
      <c r="C616" s="59" t="n"/>
      <c r="D616" s="56" t="n"/>
    </row>
    <row r="617">
      <c r="A617" s="56" t="n"/>
      <c r="B617" s="58" t="n"/>
      <c r="C617" s="59" t="n"/>
      <c r="D617" s="56" t="n"/>
    </row>
    <row r="618">
      <c r="A618" s="56" t="n"/>
      <c r="B618" s="58" t="n"/>
      <c r="C618" s="59" t="n"/>
      <c r="D618" s="56" t="n"/>
    </row>
    <row r="619">
      <c r="A619" s="56" t="n"/>
      <c r="B619" s="58" t="n"/>
      <c r="C619" s="59" t="n"/>
      <c r="D619" s="56" t="n"/>
    </row>
    <row r="620">
      <c r="A620" s="56" t="n"/>
      <c r="B620" s="58" t="n"/>
      <c r="C620" s="59" t="n"/>
      <c r="D620" s="56" t="n"/>
    </row>
    <row r="621">
      <c r="A621" s="56" t="n"/>
      <c r="B621" s="58" t="n"/>
      <c r="C621" s="59" t="n"/>
      <c r="D621" s="56" t="n"/>
    </row>
    <row r="622">
      <c r="A622" s="56" t="n"/>
      <c r="B622" s="58" t="n"/>
      <c r="C622" s="59" t="n"/>
      <c r="D622" s="56" t="n"/>
    </row>
    <row r="623">
      <c r="A623" s="56" t="n"/>
      <c r="B623" s="58" t="n"/>
      <c r="C623" s="59" t="n"/>
      <c r="D623" s="56" t="n"/>
    </row>
    <row r="624">
      <c r="A624" s="56" t="n"/>
      <c r="B624" s="58" t="n"/>
      <c r="C624" s="59" t="n"/>
      <c r="D624" s="56" t="n"/>
    </row>
    <row r="625">
      <c r="A625" s="56" t="n"/>
      <c r="B625" s="58" t="n"/>
      <c r="C625" s="59" t="n"/>
      <c r="D625" s="56" t="n"/>
    </row>
    <row r="626">
      <c r="A626" s="56" t="n"/>
      <c r="B626" s="58" t="n"/>
      <c r="C626" s="59" t="n"/>
      <c r="D626" s="56" t="n"/>
    </row>
    <row r="627">
      <c r="A627" s="56" t="n"/>
      <c r="B627" s="58" t="n"/>
      <c r="C627" s="59" t="n"/>
      <c r="D627" s="56" t="n"/>
    </row>
    <row r="628">
      <c r="A628" s="56" t="n"/>
      <c r="B628" s="58" t="n"/>
      <c r="C628" s="59" t="n"/>
      <c r="D628" s="56" t="n"/>
    </row>
    <row r="629">
      <c r="A629" s="56" t="n"/>
      <c r="B629" s="58" t="n"/>
      <c r="C629" s="59" t="n"/>
      <c r="D629" s="56" t="n"/>
    </row>
    <row r="630">
      <c r="A630" s="56" t="n"/>
      <c r="B630" s="58" t="n"/>
      <c r="C630" s="59" t="n"/>
      <c r="D630" s="56" t="n"/>
    </row>
    <row r="631">
      <c r="A631" s="56" t="n"/>
      <c r="B631" s="58" t="n"/>
      <c r="C631" s="59" t="n"/>
      <c r="D631" s="56" t="n"/>
    </row>
    <row r="632">
      <c r="A632" s="56" t="n"/>
      <c r="B632" s="58" t="n"/>
      <c r="C632" s="59" t="n"/>
      <c r="D632" s="56" t="n"/>
    </row>
    <row r="633">
      <c r="A633" s="56" t="n"/>
      <c r="B633" s="58" t="n"/>
      <c r="C633" s="59" t="n"/>
      <c r="D633" s="56" t="n"/>
    </row>
    <row r="634">
      <c r="A634" s="56" t="n"/>
      <c r="B634" s="58" t="n"/>
      <c r="C634" s="59" t="n"/>
      <c r="D634" s="56" t="n"/>
    </row>
    <row r="635">
      <c r="A635" s="56" t="n"/>
      <c r="B635" s="58" t="n"/>
      <c r="C635" s="59" t="n"/>
      <c r="D635" s="56" t="n"/>
    </row>
    <row r="636">
      <c r="A636" s="56" t="n"/>
      <c r="B636" s="58" t="n"/>
      <c r="C636" s="59" t="n"/>
      <c r="D636" s="56" t="n"/>
    </row>
    <row r="637">
      <c r="A637" s="56" t="n"/>
      <c r="B637" s="58" t="n"/>
      <c r="C637" s="59" t="n"/>
      <c r="D637" s="56" t="n"/>
    </row>
    <row r="638">
      <c r="A638" s="56" t="n"/>
      <c r="B638" s="58" t="n"/>
      <c r="C638" s="59" t="n"/>
      <c r="D638" s="56" t="n"/>
    </row>
    <row r="639">
      <c r="A639" s="56" t="n"/>
      <c r="B639" s="58" t="n"/>
      <c r="C639" s="59" t="n"/>
      <c r="D639" s="56" t="n"/>
    </row>
    <row r="640">
      <c r="A640" s="56" t="n"/>
      <c r="B640" s="58" t="n"/>
      <c r="C640" s="59" t="n"/>
      <c r="D640" s="56" t="n"/>
    </row>
    <row r="641">
      <c r="A641" s="56" t="n"/>
      <c r="B641" s="58" t="n"/>
      <c r="C641" s="59" t="n"/>
      <c r="D641" s="56" t="n"/>
    </row>
    <row r="642">
      <c r="A642" s="56" t="n"/>
      <c r="B642" s="58" t="n"/>
      <c r="C642" s="59" t="n"/>
      <c r="D642" s="56" t="n"/>
    </row>
    <row r="643">
      <c r="A643" s="56" t="n"/>
      <c r="B643" s="58" t="n"/>
      <c r="C643" s="59" t="n"/>
      <c r="D643" s="56" t="n"/>
    </row>
    <row r="644">
      <c r="A644" s="56" t="n"/>
      <c r="B644" s="58" t="n"/>
      <c r="C644" s="59" t="n"/>
      <c r="D644" s="56" t="n"/>
    </row>
    <row r="645">
      <c r="A645" s="56" t="n"/>
      <c r="B645" s="58" t="n"/>
      <c r="C645" s="59" t="n"/>
      <c r="D645" s="56" t="n"/>
    </row>
    <row r="646">
      <c r="A646" s="56" t="n"/>
      <c r="B646" s="58" t="n"/>
      <c r="C646" s="59" t="n"/>
      <c r="D646" s="56" t="n"/>
    </row>
    <row r="647">
      <c r="A647" s="56" t="n"/>
      <c r="B647" s="58" t="n"/>
      <c r="C647" s="59" t="n"/>
      <c r="D647" s="56" t="n"/>
    </row>
    <row r="648">
      <c r="A648" s="56" t="n"/>
      <c r="B648" s="58" t="n"/>
      <c r="C648" s="59" t="n"/>
      <c r="D648" s="56" t="n"/>
    </row>
    <row r="649">
      <c r="A649" s="56" t="n"/>
      <c r="B649" s="58" t="n"/>
      <c r="C649" s="59" t="n"/>
      <c r="D649" s="56" t="n"/>
    </row>
    <row r="650">
      <c r="A650" s="56" t="n"/>
      <c r="B650" s="58" t="n"/>
      <c r="C650" s="59" t="n"/>
      <c r="D650" s="56" t="n"/>
    </row>
    <row r="651">
      <c r="A651" s="56" t="n"/>
      <c r="B651" s="58" t="n"/>
      <c r="C651" s="59" t="n"/>
      <c r="D651" s="56" t="n"/>
    </row>
    <row r="652">
      <c r="A652" s="56" t="n"/>
      <c r="B652" s="58" t="n"/>
      <c r="C652" s="59" t="n"/>
      <c r="D652" s="56" t="n"/>
    </row>
    <row r="653">
      <c r="A653" s="56" t="n"/>
      <c r="B653" s="58" t="n"/>
      <c r="C653" s="59" t="n"/>
      <c r="D653" s="56" t="n"/>
    </row>
    <row r="654">
      <c r="A654" s="56" t="n"/>
      <c r="B654" s="58" t="n"/>
      <c r="C654" s="59" t="n"/>
      <c r="D654" s="56" t="n"/>
    </row>
    <row r="655">
      <c r="A655" s="56" t="n"/>
      <c r="B655" s="58" t="n"/>
      <c r="C655" s="59" t="n"/>
      <c r="D655" s="56" t="n"/>
    </row>
    <row r="656">
      <c r="A656" s="56" t="n"/>
      <c r="B656" s="58" t="n"/>
      <c r="C656" s="59" t="n"/>
      <c r="D656" s="56" t="n"/>
    </row>
    <row r="657">
      <c r="A657" s="56" t="n"/>
      <c r="B657" s="58" t="n"/>
      <c r="C657" s="59" t="n"/>
      <c r="D657" s="56" t="n"/>
    </row>
    <row r="658">
      <c r="A658" s="56" t="n"/>
      <c r="B658" s="58" t="n"/>
      <c r="C658" s="59" t="n"/>
      <c r="D658" s="56" t="n"/>
    </row>
    <row r="659">
      <c r="A659" s="56" t="n"/>
      <c r="B659" s="58" t="n"/>
      <c r="C659" s="59" t="n"/>
      <c r="D659" s="56" t="n"/>
    </row>
    <row r="660">
      <c r="A660" s="56" t="n"/>
      <c r="B660" s="58" t="n"/>
      <c r="C660" s="59" t="n"/>
      <c r="D660" s="56" t="n"/>
    </row>
    <row r="661">
      <c r="A661" s="56" t="n"/>
      <c r="B661" s="58" t="n"/>
      <c r="C661" s="59" t="n"/>
      <c r="D661" s="56" t="n"/>
    </row>
    <row r="662">
      <c r="A662" s="56" t="n"/>
      <c r="B662" s="58" t="n"/>
      <c r="C662" s="59" t="n"/>
      <c r="D662" s="56" t="n"/>
    </row>
    <row r="663">
      <c r="A663" s="56" t="n"/>
      <c r="B663" s="58" t="n"/>
      <c r="C663" s="59" t="n"/>
      <c r="D663" s="56" t="n"/>
    </row>
    <row r="664">
      <c r="A664" s="56" t="n"/>
      <c r="B664" s="58" t="n"/>
      <c r="C664" s="59" t="n"/>
      <c r="D664" s="56" t="n"/>
    </row>
    <row r="665">
      <c r="A665" s="56" t="n"/>
      <c r="B665" s="58" t="n"/>
      <c r="C665" s="59" t="n"/>
      <c r="D665" s="56" t="n"/>
    </row>
    <row r="666">
      <c r="A666" s="56" t="n"/>
      <c r="B666" s="58" t="n"/>
      <c r="C666" s="59" t="n"/>
      <c r="D666" s="56" t="n"/>
    </row>
    <row r="667">
      <c r="A667" s="56" t="n"/>
      <c r="B667" s="58" t="n"/>
      <c r="C667" s="59" t="n"/>
      <c r="D667" s="56" t="n"/>
    </row>
    <row r="668">
      <c r="A668" s="56" t="n"/>
      <c r="B668" s="58" t="n"/>
      <c r="C668" s="59" t="n"/>
      <c r="D668" s="56" t="n"/>
    </row>
    <row r="669">
      <c r="A669" s="56" t="n"/>
      <c r="B669" s="58" t="n"/>
      <c r="C669" s="59" t="n"/>
      <c r="D669" s="56" t="n"/>
    </row>
    <row r="670">
      <c r="A670" s="56" t="n"/>
      <c r="B670" s="58" t="n"/>
      <c r="C670" s="59" t="n"/>
      <c r="D670" s="56" t="n"/>
    </row>
    <row r="671">
      <c r="A671" s="56" t="n"/>
      <c r="B671" s="58" t="n"/>
      <c r="C671" s="59" t="n"/>
      <c r="D671" s="56" t="n"/>
    </row>
    <row r="672">
      <c r="A672" s="56" t="n"/>
      <c r="B672" s="58" t="n"/>
      <c r="C672" s="59" t="n"/>
      <c r="D672" s="56" t="n"/>
    </row>
    <row r="673">
      <c r="A673" s="56" t="n"/>
      <c r="B673" s="58" t="n"/>
      <c r="C673" s="59" t="n"/>
      <c r="D673" s="56" t="n"/>
    </row>
    <row r="674">
      <c r="A674" s="56" t="n"/>
      <c r="B674" s="58" t="n"/>
      <c r="C674" s="59" t="n"/>
      <c r="D674" s="56" t="n"/>
    </row>
    <row r="675">
      <c r="A675" s="56" t="n"/>
      <c r="B675" s="58" t="n"/>
      <c r="C675" s="59" t="n"/>
      <c r="D675" s="56" t="n"/>
    </row>
    <row r="676">
      <c r="A676" s="56" t="n"/>
      <c r="B676" s="58" t="n"/>
      <c r="C676" s="59" t="n"/>
      <c r="D676" s="56" t="n"/>
    </row>
    <row r="677">
      <c r="A677" s="56" t="n"/>
      <c r="B677" s="58" t="n"/>
      <c r="C677" s="59" t="n"/>
      <c r="D677" s="56" t="n"/>
    </row>
    <row r="678">
      <c r="A678" s="56" t="n"/>
      <c r="B678" s="58" t="n"/>
      <c r="C678" s="59" t="n"/>
      <c r="D678" s="56" t="n"/>
    </row>
    <row r="679">
      <c r="A679" s="56" t="n"/>
      <c r="B679" s="58" t="n"/>
      <c r="C679" s="59" t="n"/>
      <c r="D679" s="56" t="n"/>
    </row>
    <row r="680">
      <c r="A680" s="56" t="n"/>
      <c r="B680" s="58" t="n"/>
      <c r="C680" s="59" t="n"/>
      <c r="D680" s="56" t="n"/>
    </row>
    <row r="681">
      <c r="A681" s="56" t="n"/>
      <c r="B681" s="58" t="n"/>
      <c r="C681" s="59" t="n"/>
      <c r="D681" s="56" t="n"/>
    </row>
    <row r="682">
      <c r="A682" s="56" t="n"/>
      <c r="B682" s="58" t="n"/>
      <c r="C682" s="59" t="n"/>
      <c r="D682" s="56" t="n"/>
    </row>
    <row r="683">
      <c r="A683" s="56" t="n"/>
      <c r="B683" s="58" t="n"/>
      <c r="C683" s="59" t="n"/>
      <c r="D683" s="56" t="n"/>
    </row>
    <row r="684">
      <c r="A684" s="56" t="n"/>
      <c r="B684" s="58" t="n"/>
      <c r="C684" s="59" t="n"/>
      <c r="D684" s="56" t="n"/>
    </row>
    <row r="685">
      <c r="A685" s="56" t="n"/>
      <c r="B685" s="58" t="n"/>
      <c r="C685" s="59" t="n"/>
      <c r="D685" s="56" t="n"/>
    </row>
    <row r="686">
      <c r="A686" s="56" t="n"/>
      <c r="B686" s="58" t="n"/>
      <c r="C686" s="59" t="n"/>
      <c r="D686" s="56" t="n"/>
    </row>
    <row r="687">
      <c r="A687" s="56" t="n"/>
      <c r="B687" s="58" t="n"/>
      <c r="C687" s="59" t="n"/>
      <c r="D687" s="56" t="n"/>
    </row>
    <row r="688">
      <c r="A688" s="56" t="n"/>
      <c r="B688" s="58" t="n"/>
      <c r="C688" s="59" t="n"/>
      <c r="D688" s="56" t="n"/>
    </row>
    <row r="689">
      <c r="A689" s="56" t="n"/>
      <c r="B689" s="58" t="n"/>
      <c r="C689" s="59" t="n"/>
      <c r="D689" s="56" t="n"/>
    </row>
    <row r="690">
      <c r="A690" s="56" t="n"/>
      <c r="B690" s="58" t="n"/>
      <c r="C690" s="59" t="n"/>
      <c r="D690" s="56" t="n"/>
    </row>
    <row r="691">
      <c r="A691" s="56" t="n"/>
      <c r="B691" s="58" t="n"/>
      <c r="C691" s="59" t="n"/>
      <c r="D691" s="56" t="n"/>
    </row>
    <row r="692">
      <c r="A692" s="56" t="n"/>
      <c r="B692" s="58" t="n"/>
      <c r="C692" s="59" t="n"/>
      <c r="D692" s="56" t="n"/>
    </row>
    <row r="693">
      <c r="A693" s="56" t="n"/>
      <c r="B693" s="58" t="n"/>
      <c r="C693" s="59" t="n"/>
      <c r="D693" s="56" t="n"/>
    </row>
    <row r="694">
      <c r="A694" s="56" t="n"/>
      <c r="B694" s="58" t="n"/>
      <c r="C694" s="59" t="n"/>
      <c r="D694" s="56" t="n"/>
    </row>
    <row r="695">
      <c r="A695" s="56" t="n"/>
      <c r="B695" s="58" t="n"/>
      <c r="C695" s="59" t="n"/>
      <c r="D695" s="56" t="n"/>
    </row>
    <row r="696">
      <c r="A696" s="56" t="n"/>
      <c r="B696" s="58" t="n"/>
      <c r="C696" s="59" t="n"/>
      <c r="D696" s="56" t="n"/>
    </row>
    <row r="697">
      <c r="A697" s="56" t="n"/>
      <c r="B697" s="58" t="n"/>
      <c r="C697" s="59" t="n"/>
      <c r="D697" s="56" t="n"/>
    </row>
    <row r="698">
      <c r="A698" s="56" t="n"/>
      <c r="B698" s="58" t="n"/>
      <c r="C698" s="59" t="n"/>
      <c r="D698" s="56" t="n"/>
    </row>
    <row r="699">
      <c r="A699" s="56" t="n"/>
      <c r="B699" s="58" t="n"/>
      <c r="C699" s="59" t="n"/>
      <c r="D699" s="56" t="n"/>
    </row>
    <row r="700">
      <c r="A700" s="56" t="n"/>
      <c r="B700" s="58" t="n"/>
      <c r="C700" s="59" t="n"/>
      <c r="D700" s="56" t="n"/>
    </row>
    <row r="701">
      <c r="A701" s="56" t="n"/>
      <c r="B701" s="58" t="n"/>
      <c r="C701" s="59" t="n"/>
      <c r="D701" s="56" t="n"/>
    </row>
    <row r="702">
      <c r="A702" s="56" t="n"/>
      <c r="B702" s="58" t="n"/>
      <c r="C702" s="59" t="n"/>
      <c r="D702" s="56" t="n"/>
    </row>
    <row r="703">
      <c r="A703" s="56" t="n"/>
      <c r="B703" s="58" t="n"/>
      <c r="C703" s="59" t="n"/>
      <c r="D703" s="56" t="n"/>
    </row>
    <row r="704">
      <c r="A704" s="56" t="n"/>
      <c r="B704" s="58" t="n"/>
      <c r="C704" s="59" t="n"/>
      <c r="D704" s="56" t="n"/>
    </row>
    <row r="705">
      <c r="A705" s="56" t="n"/>
      <c r="B705" s="58" t="n"/>
      <c r="C705" s="59" t="n"/>
      <c r="D705" s="56" t="n"/>
    </row>
    <row r="706">
      <c r="A706" s="56" t="n"/>
      <c r="B706" s="58" t="n"/>
      <c r="C706" s="59" t="n"/>
      <c r="D706" s="56" t="n"/>
    </row>
    <row r="707">
      <c r="A707" s="56" t="n"/>
      <c r="B707" s="58" t="n"/>
      <c r="C707" s="59" t="n"/>
      <c r="D707" s="56" t="n"/>
    </row>
    <row r="708">
      <c r="A708" s="56" t="n"/>
      <c r="B708" s="58" t="n"/>
      <c r="C708" s="59" t="n"/>
      <c r="D708" s="56" t="n"/>
    </row>
    <row r="709">
      <c r="A709" s="56" t="n"/>
      <c r="B709" s="58" t="n"/>
      <c r="C709" s="59" t="n"/>
      <c r="D709" s="56" t="n"/>
    </row>
    <row r="710">
      <c r="A710" s="56" t="n"/>
      <c r="B710" s="58" t="n"/>
      <c r="C710" s="59" t="n"/>
      <c r="D710" s="56" t="n"/>
    </row>
    <row r="711">
      <c r="A711" s="56" t="n"/>
      <c r="B711" s="58" t="n"/>
      <c r="C711" s="59" t="n"/>
      <c r="D711" s="56" t="n"/>
    </row>
    <row r="712">
      <c r="A712" s="56" t="n"/>
      <c r="B712" s="58" t="n"/>
      <c r="C712" s="59" t="n"/>
      <c r="D712" s="56" t="n"/>
    </row>
    <row r="713">
      <c r="A713" s="56" t="n"/>
      <c r="B713" s="58" t="n"/>
      <c r="C713" s="59" t="n"/>
      <c r="D713" s="56" t="n"/>
    </row>
    <row r="714">
      <c r="A714" s="56" t="n"/>
      <c r="B714" s="58" t="n"/>
      <c r="C714" s="59" t="n"/>
      <c r="D714" s="56" t="n"/>
    </row>
    <row r="715">
      <c r="A715" s="56" t="n"/>
      <c r="B715" s="58" t="n"/>
      <c r="C715" s="59" t="n"/>
      <c r="D715" s="56" t="n"/>
    </row>
    <row r="716">
      <c r="A716" s="56" t="n"/>
      <c r="B716" s="58" t="n"/>
      <c r="C716" s="59" t="n"/>
      <c r="D716" s="56" t="n"/>
    </row>
    <row r="717">
      <c r="A717" s="56" t="n"/>
      <c r="B717" s="58" t="n"/>
      <c r="C717" s="59" t="n"/>
      <c r="D717" s="56" t="n"/>
    </row>
    <row r="718">
      <c r="A718" s="56" t="n"/>
      <c r="B718" s="58" t="n"/>
      <c r="C718" s="59" t="n"/>
      <c r="D718" s="56" t="n"/>
    </row>
    <row r="719">
      <c r="A719" s="56" t="n"/>
      <c r="B719" s="58" t="n"/>
      <c r="C719" s="59" t="n"/>
      <c r="D719" s="56" t="n"/>
    </row>
    <row r="720">
      <c r="A720" s="56" t="n"/>
      <c r="B720" s="58" t="n"/>
      <c r="C720" s="59" t="n"/>
      <c r="D720" s="56" t="n"/>
    </row>
    <row r="721">
      <c r="A721" s="56" t="n"/>
      <c r="B721" s="58" t="n"/>
      <c r="C721" s="59" t="n"/>
      <c r="D721" s="56" t="n"/>
    </row>
    <row r="722">
      <c r="A722" s="56" t="n"/>
      <c r="B722" s="58" t="n"/>
      <c r="C722" s="59" t="n"/>
      <c r="D722" s="56" t="n"/>
    </row>
    <row r="723">
      <c r="A723" s="56" t="n"/>
      <c r="B723" s="58" t="n"/>
      <c r="C723" s="59" t="n"/>
      <c r="D723" s="56" t="n"/>
    </row>
    <row r="724">
      <c r="A724" s="56" t="n"/>
      <c r="B724" s="58" t="n"/>
      <c r="C724" s="59" t="n"/>
      <c r="D724" s="56" t="n"/>
    </row>
    <row r="725">
      <c r="A725" s="56" t="n"/>
      <c r="B725" s="58" t="n"/>
      <c r="C725" s="59" t="n"/>
      <c r="D725" s="56" t="n"/>
    </row>
    <row r="726">
      <c r="A726" s="56" t="n"/>
      <c r="B726" s="58" t="n"/>
      <c r="C726" s="59" t="n"/>
      <c r="D726" s="56" t="n"/>
    </row>
    <row r="727">
      <c r="A727" s="56" t="n"/>
      <c r="B727" s="58" t="n"/>
      <c r="C727" s="59" t="n"/>
      <c r="D727" s="56" t="n"/>
    </row>
    <row r="728">
      <c r="A728" s="56" t="n"/>
      <c r="B728" s="58" t="n"/>
      <c r="C728" s="59" t="n"/>
      <c r="D728" s="56" t="n"/>
    </row>
    <row r="729">
      <c r="A729" s="56" t="n"/>
      <c r="B729" s="58" t="n"/>
      <c r="C729" s="59" t="n"/>
      <c r="D729" s="56" t="n"/>
    </row>
    <row r="730">
      <c r="A730" s="56" t="n"/>
      <c r="B730" s="58" t="n"/>
      <c r="C730" s="59" t="n"/>
      <c r="D730" s="56" t="n"/>
    </row>
    <row r="731">
      <c r="A731" s="56" t="n"/>
      <c r="B731" s="58" t="n"/>
      <c r="C731" s="59" t="n"/>
      <c r="D731" s="56" t="n"/>
    </row>
    <row r="732">
      <c r="A732" s="56" t="n"/>
      <c r="B732" s="58" t="n"/>
      <c r="C732" s="59" t="n"/>
      <c r="D732" s="56" t="n"/>
    </row>
    <row r="733">
      <c r="A733" s="56" t="n"/>
      <c r="B733" s="58" t="n"/>
      <c r="C733" s="59" t="n"/>
      <c r="D733" s="56" t="n"/>
    </row>
    <row r="734">
      <c r="A734" s="56" t="n"/>
      <c r="B734" s="58" t="n"/>
      <c r="C734" s="59" t="n"/>
      <c r="D734" s="56" t="n"/>
    </row>
    <row r="735">
      <c r="A735" s="56" t="n"/>
      <c r="B735" s="58" t="n"/>
      <c r="C735" s="59" t="n"/>
      <c r="D735" s="56" t="n"/>
    </row>
    <row r="736">
      <c r="A736" s="56" t="n"/>
      <c r="B736" s="58" t="n"/>
      <c r="C736" s="59" t="n"/>
      <c r="D736" s="56" t="n"/>
    </row>
    <row r="737">
      <c r="A737" s="56" t="n"/>
      <c r="B737" s="58" t="n"/>
      <c r="C737" s="59" t="n"/>
      <c r="D737" s="56" t="n"/>
    </row>
    <row r="738">
      <c r="A738" s="56" t="n"/>
      <c r="B738" s="58" t="n"/>
      <c r="C738" s="59" t="n"/>
      <c r="D738" s="56" t="n"/>
    </row>
    <row r="739">
      <c r="A739" s="56" t="n"/>
      <c r="B739" s="58" t="n"/>
      <c r="C739" s="59" t="n"/>
      <c r="D739" s="56" t="n"/>
    </row>
    <row r="740">
      <c r="A740" s="56" t="n"/>
      <c r="B740" s="58" t="n"/>
      <c r="C740" s="59" t="n"/>
      <c r="D740" s="56" t="n"/>
    </row>
    <row r="741">
      <c r="A741" s="56" t="n"/>
      <c r="B741" s="58" t="n"/>
      <c r="C741" s="59" t="n"/>
      <c r="D741" s="56" t="n"/>
    </row>
    <row r="742">
      <c r="A742" s="56" t="n"/>
      <c r="B742" s="58" t="n"/>
      <c r="C742" s="59" t="n"/>
      <c r="D742" s="56" t="n"/>
    </row>
    <row r="743">
      <c r="A743" s="56" t="n"/>
      <c r="B743" s="58" t="n"/>
      <c r="C743" s="59" t="n"/>
      <c r="D743" s="56" t="n"/>
    </row>
    <row r="744">
      <c r="A744" s="56" t="n"/>
      <c r="B744" s="58" t="n"/>
      <c r="C744" s="59" t="n"/>
      <c r="D744" s="56" t="n"/>
    </row>
    <row r="745">
      <c r="A745" s="56" t="n"/>
      <c r="B745" s="58" t="n"/>
      <c r="C745" s="59" t="n"/>
      <c r="D745" s="56" t="n"/>
    </row>
    <row r="746">
      <c r="A746" s="56" t="n"/>
      <c r="B746" s="58" t="n"/>
      <c r="C746" s="59" t="n"/>
      <c r="D746" s="56" t="n"/>
    </row>
    <row r="747">
      <c r="A747" s="56" t="n"/>
      <c r="B747" s="58" t="n"/>
      <c r="C747" s="59" t="n"/>
      <c r="D747" s="56" t="n"/>
    </row>
    <row r="748">
      <c r="A748" s="56" t="n"/>
      <c r="B748" s="58" t="n"/>
      <c r="C748" s="59" t="n"/>
      <c r="D748" s="56" t="n"/>
    </row>
    <row r="749">
      <c r="A749" s="56" t="n"/>
      <c r="B749" s="58" t="n"/>
      <c r="C749" s="59" t="n"/>
      <c r="D749" s="56" t="n"/>
    </row>
    <row r="750">
      <c r="A750" s="56" t="n"/>
      <c r="B750" s="58" t="n"/>
      <c r="C750" s="59" t="n"/>
      <c r="D750" s="56" t="n"/>
    </row>
    <row r="751">
      <c r="A751" s="56" t="n"/>
      <c r="B751" s="58" t="n"/>
      <c r="C751" s="59" t="n"/>
      <c r="D751" s="56" t="n"/>
    </row>
    <row r="752">
      <c r="A752" s="56" t="n"/>
      <c r="B752" s="58" t="n"/>
      <c r="C752" s="59" t="n"/>
      <c r="D752" s="56" t="n"/>
    </row>
    <row r="753">
      <c r="A753" s="56" t="n"/>
      <c r="B753" s="58" t="n"/>
      <c r="C753" s="59" t="n"/>
      <c r="D753" s="56" t="n"/>
    </row>
    <row r="754">
      <c r="A754" s="56" t="n"/>
      <c r="B754" s="58" t="n"/>
      <c r="C754" s="59" t="n"/>
      <c r="D754" s="56" t="n"/>
    </row>
    <row r="755">
      <c r="A755" s="56" t="n"/>
      <c r="B755" s="58" t="n"/>
      <c r="C755" s="59" t="n"/>
      <c r="D755" s="56" t="n"/>
    </row>
    <row r="756">
      <c r="A756" s="56" t="n"/>
      <c r="B756" s="58" t="n"/>
      <c r="C756" s="59" t="n"/>
      <c r="D756" s="56" t="n"/>
    </row>
    <row r="757">
      <c r="A757" s="56" t="n"/>
      <c r="B757" s="58" t="n"/>
      <c r="C757" s="59" t="n"/>
      <c r="D757" s="56" t="n"/>
    </row>
    <row r="758">
      <c r="A758" s="56" t="n"/>
      <c r="B758" s="58" t="n"/>
      <c r="C758" s="59" t="n"/>
      <c r="D758" s="56" t="n"/>
    </row>
    <row r="759">
      <c r="A759" s="56" t="n"/>
      <c r="B759" s="58" t="n"/>
      <c r="C759" s="59" t="n"/>
      <c r="D759" s="56" t="n"/>
    </row>
    <row r="760">
      <c r="A760" s="56" t="n"/>
      <c r="B760" s="58" t="n"/>
      <c r="C760" s="59" t="n"/>
      <c r="D760" s="56" t="n"/>
    </row>
    <row r="761">
      <c r="A761" s="56" t="n"/>
      <c r="B761" s="58" t="n"/>
      <c r="C761" s="59" t="n"/>
      <c r="D761" s="56" t="n"/>
    </row>
    <row r="762">
      <c r="A762" s="56" t="n"/>
      <c r="B762" s="58" t="n"/>
      <c r="C762" s="59" t="n"/>
      <c r="D762" s="56" t="n"/>
    </row>
    <row r="763">
      <c r="A763" s="56" t="n"/>
      <c r="B763" s="58" t="n"/>
      <c r="C763" s="59" t="n"/>
      <c r="D763" s="56" t="n"/>
    </row>
    <row r="764">
      <c r="A764" s="56" t="n"/>
      <c r="B764" s="58" t="n"/>
      <c r="C764" s="59" t="n"/>
      <c r="D764" s="56" t="n"/>
    </row>
    <row r="765">
      <c r="A765" s="56" t="n"/>
      <c r="B765" s="58" t="n"/>
      <c r="C765" s="59" t="n"/>
      <c r="D765" s="56" t="n"/>
    </row>
    <row r="766">
      <c r="A766" s="56" t="n"/>
      <c r="B766" s="58" t="n"/>
      <c r="C766" s="59" t="n"/>
      <c r="D766" s="56" t="n"/>
    </row>
    <row r="767">
      <c r="A767" s="56" t="n"/>
      <c r="B767" s="58" t="n"/>
      <c r="C767" s="59" t="n"/>
      <c r="D767" s="56" t="n"/>
    </row>
    <row r="768">
      <c r="A768" s="56" t="n"/>
      <c r="B768" s="58" t="n"/>
      <c r="C768" s="59" t="n"/>
      <c r="D768" s="56" t="n"/>
    </row>
    <row r="769">
      <c r="A769" s="56" t="n"/>
      <c r="B769" s="58" t="n"/>
      <c r="C769" s="59" t="n"/>
      <c r="D769" s="56" t="n"/>
    </row>
    <row r="770">
      <c r="A770" s="56" t="n"/>
      <c r="B770" s="58" t="n"/>
      <c r="C770" s="59" t="n"/>
      <c r="D770" s="56" t="n"/>
    </row>
    <row r="771">
      <c r="A771" s="56" t="n"/>
      <c r="B771" s="58" t="n"/>
      <c r="C771" s="59" t="n"/>
      <c r="D771" s="56" t="n"/>
    </row>
    <row r="772">
      <c r="A772" s="56" t="n"/>
      <c r="B772" s="58" t="n"/>
      <c r="C772" s="59" t="n"/>
      <c r="D772" s="56" t="n"/>
    </row>
    <row r="773">
      <c r="A773" s="56" t="n"/>
      <c r="B773" s="58" t="n"/>
      <c r="C773" s="59" t="n"/>
      <c r="D773" s="56" t="n"/>
    </row>
    <row r="774">
      <c r="A774" s="56" t="n"/>
      <c r="B774" s="58" t="n"/>
      <c r="C774" s="59" t="n"/>
      <c r="D774" s="56" t="n"/>
    </row>
    <row r="775">
      <c r="A775" s="56" t="n"/>
      <c r="B775" s="58" t="n"/>
      <c r="C775" s="59" t="n"/>
      <c r="D775" s="56" t="n"/>
    </row>
    <row r="776">
      <c r="A776" s="56" t="n"/>
      <c r="B776" s="58" t="n"/>
      <c r="C776" s="59" t="n"/>
      <c r="D776" s="56" t="n"/>
    </row>
    <row r="777">
      <c r="A777" s="56" t="n"/>
      <c r="B777" s="58" t="n"/>
      <c r="C777" s="59" t="n"/>
      <c r="D777" s="56" t="n"/>
    </row>
    <row r="778">
      <c r="A778" s="56" t="n"/>
      <c r="B778" s="58" t="n"/>
      <c r="C778" s="59" t="n"/>
      <c r="D778" s="56" t="n"/>
    </row>
    <row r="779">
      <c r="A779" s="56" t="n"/>
      <c r="B779" s="58" t="n"/>
      <c r="C779" s="59" t="n"/>
      <c r="D779" s="56" t="n"/>
    </row>
    <row r="780">
      <c r="A780" s="56" t="n"/>
      <c r="B780" s="58" t="n"/>
      <c r="C780" s="59" t="n"/>
      <c r="D780" s="56" t="n"/>
    </row>
    <row r="781">
      <c r="A781" s="56" t="n"/>
      <c r="B781" s="58" t="n"/>
      <c r="C781" s="59" t="n"/>
      <c r="D781" s="56" t="n"/>
    </row>
    <row r="782">
      <c r="A782" s="56" t="n"/>
      <c r="B782" s="58" t="n"/>
      <c r="C782" s="59" t="n"/>
      <c r="D782" s="56" t="n"/>
    </row>
    <row r="783">
      <c r="A783" s="56" t="n"/>
      <c r="B783" s="58" t="n"/>
      <c r="C783" s="59" t="n"/>
      <c r="D783" s="56" t="n"/>
    </row>
    <row r="784">
      <c r="A784" s="56" t="n"/>
      <c r="B784" s="58" t="n"/>
      <c r="C784" s="59" t="n"/>
      <c r="D784" s="56" t="n"/>
    </row>
    <row r="785">
      <c r="A785" s="56" t="n"/>
      <c r="B785" s="58" t="n"/>
      <c r="C785" s="59" t="n"/>
      <c r="D785" s="56" t="n"/>
    </row>
    <row r="786">
      <c r="A786" s="56" t="n"/>
      <c r="B786" s="58" t="n"/>
      <c r="C786" s="59" t="n"/>
      <c r="D786" s="56" t="n"/>
    </row>
    <row r="787">
      <c r="A787" s="56" t="n"/>
      <c r="B787" s="58" t="n"/>
      <c r="C787" s="59" t="n"/>
      <c r="D787" s="56" t="n"/>
    </row>
    <row r="788">
      <c r="A788" s="56" t="n"/>
      <c r="B788" s="58" t="n"/>
      <c r="C788" s="59" t="n"/>
      <c r="D788" s="56" t="n"/>
    </row>
    <row r="789">
      <c r="A789" s="56" t="n"/>
      <c r="B789" s="58" t="n"/>
      <c r="C789" s="59" t="n"/>
      <c r="D789" s="56" t="n"/>
    </row>
    <row r="790">
      <c r="A790" s="56" t="n"/>
      <c r="B790" s="58" t="n"/>
      <c r="C790" s="59" t="n"/>
      <c r="D790" s="56" t="n"/>
    </row>
    <row r="791">
      <c r="A791" s="56" t="n"/>
      <c r="B791" s="58" t="n"/>
      <c r="C791" s="59" t="n"/>
      <c r="D791" s="56" t="n"/>
    </row>
    <row r="792">
      <c r="A792" s="56" t="n"/>
      <c r="B792" s="58" t="n"/>
      <c r="C792" s="59" t="n"/>
      <c r="D792" s="56" t="n"/>
    </row>
    <row r="793">
      <c r="A793" s="56" t="n"/>
      <c r="B793" s="58" t="n"/>
      <c r="C793" s="59" t="n"/>
      <c r="D793" s="56" t="n"/>
    </row>
    <row r="794">
      <c r="A794" s="56" t="n"/>
      <c r="B794" s="58" t="n"/>
      <c r="C794" s="59" t="n"/>
      <c r="D794" s="56" t="n"/>
    </row>
    <row r="795">
      <c r="A795" s="56" t="n"/>
      <c r="B795" s="58" t="n"/>
      <c r="C795" s="59" t="n"/>
      <c r="D795" s="56" t="n"/>
    </row>
    <row r="796">
      <c r="A796" s="56" t="n"/>
      <c r="B796" s="58" t="n"/>
      <c r="C796" s="59" t="n"/>
      <c r="D796" s="56" t="n"/>
    </row>
    <row r="797">
      <c r="A797" s="56" t="n"/>
      <c r="B797" s="58" t="n"/>
      <c r="C797" s="59" t="n"/>
      <c r="D797" s="56" t="n"/>
    </row>
    <row r="798">
      <c r="A798" s="56" t="n"/>
      <c r="B798" s="58" t="n"/>
      <c r="C798" s="59" t="n"/>
      <c r="D798" s="56" t="n"/>
    </row>
    <row r="799">
      <c r="A799" s="56" t="n"/>
      <c r="B799" s="58" t="n"/>
      <c r="C799" s="59" t="n"/>
      <c r="D799" s="56" t="n"/>
    </row>
    <row r="800">
      <c r="A800" s="56" t="n"/>
      <c r="B800" s="58" t="n"/>
      <c r="C800" s="59" t="n"/>
      <c r="D800" s="56" t="n"/>
    </row>
    <row r="801">
      <c r="A801" s="56" t="n"/>
      <c r="B801" s="58" t="n"/>
      <c r="C801" s="59" t="n"/>
      <c r="D801" s="56" t="n"/>
    </row>
    <row r="802">
      <c r="A802" s="56" t="n"/>
      <c r="B802" s="58" t="n"/>
      <c r="C802" s="59" t="n"/>
      <c r="D802" s="56" t="n"/>
    </row>
    <row r="803">
      <c r="A803" s="56" t="n"/>
      <c r="B803" s="58" t="n"/>
      <c r="C803" s="59" t="n"/>
      <c r="D803" s="56" t="n"/>
    </row>
    <row r="804">
      <c r="A804" s="56" t="n"/>
      <c r="B804" s="58" t="n"/>
      <c r="C804" s="59" t="n"/>
      <c r="D804" s="56" t="n"/>
    </row>
    <row r="805">
      <c r="A805" s="56" t="n"/>
      <c r="B805" s="58" t="n"/>
      <c r="C805" s="59" t="n"/>
      <c r="D805" s="56" t="n"/>
    </row>
    <row r="806">
      <c r="A806" s="56" t="n"/>
      <c r="B806" s="58" t="n"/>
      <c r="C806" s="59" t="n"/>
      <c r="D806" s="56" t="n"/>
    </row>
    <row r="807">
      <c r="A807" s="56" t="n"/>
      <c r="B807" s="58" t="n"/>
      <c r="C807" s="59" t="n"/>
      <c r="D807" s="56" t="n"/>
    </row>
    <row r="808">
      <c r="A808" s="56" t="n"/>
      <c r="B808" s="58" t="n"/>
      <c r="C808" s="59" t="n"/>
      <c r="D808" s="56" t="n"/>
    </row>
    <row r="809">
      <c r="A809" s="56" t="n"/>
      <c r="B809" s="58" t="n"/>
      <c r="C809" s="59" t="n"/>
      <c r="D809" s="56" t="n"/>
    </row>
    <row r="810">
      <c r="A810" s="56" t="n"/>
      <c r="B810" s="58" t="n"/>
      <c r="C810" s="59" t="n"/>
      <c r="D810" s="56" t="n"/>
    </row>
    <row r="811">
      <c r="A811" s="56" t="n"/>
      <c r="B811" s="58" t="n"/>
      <c r="C811" s="59" t="n"/>
      <c r="D811" s="56" t="n"/>
    </row>
    <row r="812">
      <c r="A812" s="56" t="n"/>
      <c r="B812" s="58" t="n"/>
      <c r="C812" s="59" t="n"/>
      <c r="D812" s="56" t="n"/>
    </row>
    <row r="813">
      <c r="A813" s="56" t="n"/>
      <c r="B813" s="58" t="n"/>
      <c r="C813" s="59" t="n"/>
      <c r="D813" s="56" t="n"/>
    </row>
    <row r="814">
      <c r="A814" s="56" t="n"/>
      <c r="B814" s="58" t="n"/>
      <c r="C814" s="59" t="n"/>
      <c r="D814" s="56" t="n"/>
    </row>
    <row r="815">
      <c r="A815" s="56" t="n"/>
      <c r="B815" s="58" t="n"/>
      <c r="C815" s="59" t="n"/>
      <c r="D815" s="56" t="n"/>
    </row>
    <row r="816">
      <c r="A816" s="56" t="n"/>
      <c r="B816" s="58" t="n"/>
      <c r="C816" s="59" t="n"/>
      <c r="D816" s="56" t="n"/>
    </row>
    <row r="817">
      <c r="A817" s="56" t="n"/>
      <c r="B817" s="58" t="n"/>
      <c r="C817" s="59" t="n"/>
      <c r="D817" s="56" t="n"/>
    </row>
    <row r="818">
      <c r="A818" s="56" t="n"/>
      <c r="B818" s="58" t="n"/>
      <c r="C818" s="59" t="n"/>
      <c r="D818" s="56" t="n"/>
    </row>
    <row r="819">
      <c r="A819" s="56" t="n"/>
      <c r="B819" s="58" t="n"/>
      <c r="C819" s="59" t="n"/>
      <c r="D819" s="56" t="n"/>
    </row>
    <row r="820">
      <c r="A820" s="56" t="n"/>
      <c r="B820" s="58" t="n"/>
      <c r="C820" s="59" t="n"/>
      <c r="D820" s="56" t="n"/>
    </row>
    <row r="821">
      <c r="A821" s="56" t="n"/>
      <c r="B821" s="58" t="n"/>
      <c r="C821" s="59" t="n"/>
      <c r="D821" s="56" t="n"/>
    </row>
    <row r="822">
      <c r="A822" s="56" t="n"/>
      <c r="B822" s="58" t="n"/>
      <c r="C822" s="59" t="n"/>
      <c r="D822" s="56" t="n"/>
    </row>
    <row r="823">
      <c r="A823" s="56" t="n"/>
      <c r="B823" s="58" t="n"/>
      <c r="C823" s="59" t="n"/>
      <c r="D823" s="56" t="n"/>
    </row>
    <row r="824">
      <c r="A824" s="56" t="n"/>
      <c r="B824" s="58" t="n"/>
      <c r="C824" s="59" t="n"/>
      <c r="D824" s="56" t="n"/>
    </row>
    <row r="825">
      <c r="A825" s="56" t="n"/>
      <c r="B825" s="58" t="n"/>
      <c r="C825" s="59" t="n"/>
      <c r="D825" s="56" t="n"/>
    </row>
    <row r="826">
      <c r="A826" s="56" t="n"/>
      <c r="B826" s="58" t="n"/>
      <c r="C826" s="59" t="n"/>
      <c r="D826" s="56" t="n"/>
    </row>
    <row r="827">
      <c r="A827" s="56" t="n"/>
      <c r="B827" s="58" t="n"/>
      <c r="C827" s="59" t="n"/>
      <c r="D827" s="56" t="n"/>
    </row>
    <row r="828">
      <c r="A828" s="56" t="n"/>
      <c r="B828" s="58" t="n"/>
      <c r="C828" s="59" t="n"/>
      <c r="D828" s="56" t="n"/>
    </row>
    <row r="829">
      <c r="A829" s="56" t="n"/>
      <c r="B829" s="58" t="n"/>
      <c r="C829" s="59" t="n"/>
      <c r="D829" s="56" t="n"/>
    </row>
    <row r="830">
      <c r="A830" s="56" t="n"/>
      <c r="B830" s="58" t="n"/>
      <c r="C830" s="59" t="n"/>
      <c r="D830" s="56" t="n"/>
    </row>
    <row r="831">
      <c r="A831" s="56" t="n"/>
      <c r="B831" s="58" t="n"/>
      <c r="C831" s="59" t="n"/>
      <c r="D831" s="56" t="n"/>
    </row>
    <row r="832">
      <c r="A832" s="56" t="n"/>
      <c r="B832" s="58" t="n"/>
      <c r="C832" s="59" t="n"/>
      <c r="D832" s="56" t="n"/>
    </row>
    <row r="833">
      <c r="A833" s="56" t="n"/>
      <c r="B833" s="58" t="n"/>
      <c r="C833" s="59" t="n"/>
      <c r="D833" s="56" t="n"/>
    </row>
    <row r="834">
      <c r="A834" s="56" t="n"/>
      <c r="B834" s="58" t="n"/>
      <c r="C834" s="59" t="n"/>
      <c r="D834" s="56" t="n"/>
    </row>
    <row r="835">
      <c r="A835" s="56" t="n"/>
      <c r="B835" s="58" t="n"/>
      <c r="C835" s="59" t="n"/>
      <c r="D835" s="56" t="n"/>
    </row>
    <row r="836">
      <c r="A836" s="56" t="n"/>
      <c r="B836" s="58" t="n"/>
      <c r="C836" s="59" t="n"/>
      <c r="D836" s="56" t="n"/>
    </row>
    <row r="837">
      <c r="A837" s="56" t="n"/>
      <c r="B837" s="58" t="n"/>
      <c r="C837" s="59" t="n"/>
      <c r="D837" s="56" t="n"/>
    </row>
    <row r="838">
      <c r="A838" s="56" t="n"/>
      <c r="B838" s="58" t="n"/>
      <c r="C838" s="59" t="n"/>
      <c r="D838" s="56" t="n"/>
    </row>
    <row r="839">
      <c r="A839" s="56" t="n"/>
      <c r="B839" s="58" t="n"/>
      <c r="C839" s="59" t="n"/>
      <c r="D839" s="56" t="n"/>
    </row>
    <row r="840">
      <c r="A840" s="56" t="n"/>
      <c r="B840" s="58" t="n"/>
      <c r="C840" s="59" t="n"/>
      <c r="D840" s="56" t="n"/>
    </row>
    <row r="841">
      <c r="A841" s="56" t="n"/>
      <c r="B841" s="58" t="n"/>
      <c r="C841" s="59" t="n"/>
      <c r="D841" s="56" t="n"/>
    </row>
    <row r="842">
      <c r="A842" s="56" t="n"/>
      <c r="B842" s="58" t="n"/>
      <c r="C842" s="59" t="n"/>
      <c r="D842" s="56" t="n"/>
    </row>
    <row r="843">
      <c r="A843" s="56" t="n"/>
      <c r="B843" s="58" t="n"/>
      <c r="C843" s="59" t="n"/>
      <c r="D843" s="56" t="n"/>
    </row>
    <row r="844">
      <c r="A844" s="56" t="n"/>
      <c r="B844" s="58" t="n"/>
      <c r="C844" s="59" t="n"/>
      <c r="D844" s="56" t="n"/>
    </row>
    <row r="845">
      <c r="A845" s="56" t="n"/>
      <c r="B845" s="58" t="n"/>
      <c r="C845" s="59" t="n"/>
      <c r="D845" s="56" t="n"/>
    </row>
    <row r="846">
      <c r="A846" s="56" t="n"/>
      <c r="B846" s="58" t="n"/>
      <c r="C846" s="59" t="n"/>
      <c r="D846" s="56" t="n"/>
    </row>
    <row r="847">
      <c r="A847" s="56" t="n"/>
      <c r="B847" s="58" t="n"/>
      <c r="C847" s="59" t="n"/>
      <c r="D847" s="56" t="n"/>
    </row>
    <row r="848">
      <c r="A848" s="56" t="n"/>
      <c r="B848" s="58" t="n"/>
      <c r="C848" s="59" t="n"/>
      <c r="D848" s="56" t="n"/>
    </row>
    <row r="849">
      <c r="A849" s="56" t="n"/>
      <c r="B849" s="58" t="n"/>
      <c r="C849" s="59" t="n"/>
      <c r="D849" s="56" t="n"/>
    </row>
    <row r="850">
      <c r="A850" s="56" t="n"/>
      <c r="B850" s="58" t="n"/>
      <c r="C850" s="59" t="n"/>
      <c r="D850" s="56" t="n"/>
    </row>
    <row r="851">
      <c r="A851" s="56" t="n"/>
      <c r="B851" s="58" t="n"/>
      <c r="C851" s="59" t="n"/>
      <c r="D851" s="56" t="n"/>
    </row>
    <row r="852">
      <c r="A852" s="56" t="n"/>
      <c r="B852" s="58" t="n"/>
      <c r="C852" s="59" t="n"/>
      <c r="D852" s="56" t="n"/>
    </row>
    <row r="853">
      <c r="A853" s="56" t="n"/>
      <c r="B853" s="58" t="n"/>
      <c r="C853" s="59" t="n"/>
      <c r="D853" s="56" t="n"/>
    </row>
    <row r="854">
      <c r="A854" s="56" t="n"/>
      <c r="B854" s="58" t="n"/>
      <c r="C854" s="59" t="n"/>
      <c r="D854" s="56" t="n"/>
    </row>
    <row r="855">
      <c r="A855" s="56" t="n"/>
      <c r="B855" s="58" t="n"/>
      <c r="C855" s="59" t="n"/>
      <c r="D855" s="56" t="n"/>
    </row>
    <row r="856">
      <c r="A856" s="56" t="n"/>
      <c r="B856" s="58" t="n"/>
      <c r="C856" s="59" t="n"/>
      <c r="D856" s="56" t="n"/>
    </row>
    <row r="857">
      <c r="A857" s="56" t="n"/>
      <c r="B857" s="58" t="n"/>
      <c r="C857" s="59" t="n"/>
      <c r="D857" s="56" t="n"/>
    </row>
    <row r="858">
      <c r="A858" s="56" t="n"/>
      <c r="B858" s="58" t="n"/>
      <c r="C858" s="59" t="n"/>
      <c r="D858" s="56" t="n"/>
    </row>
    <row r="859">
      <c r="A859" s="56" t="n"/>
      <c r="B859" s="58" t="n"/>
      <c r="C859" s="59" t="n"/>
      <c r="D859" s="56" t="n"/>
    </row>
    <row r="860">
      <c r="A860" s="56" t="n"/>
      <c r="B860" s="58" t="n"/>
      <c r="C860" s="59" t="n"/>
      <c r="D860" s="56" t="n"/>
    </row>
    <row r="861">
      <c r="A861" s="56" t="n"/>
      <c r="B861" s="58" t="n"/>
      <c r="C861" s="59" t="n"/>
      <c r="D861" s="56" t="n"/>
    </row>
    <row r="862">
      <c r="A862" s="56" t="n"/>
      <c r="B862" s="58" t="n"/>
      <c r="C862" s="59" t="n"/>
      <c r="D862" s="56" t="n"/>
    </row>
    <row r="863">
      <c r="A863" s="56" t="n"/>
      <c r="B863" s="58" t="n"/>
      <c r="C863" s="59" t="n"/>
      <c r="D863" s="56" t="n"/>
    </row>
    <row r="864">
      <c r="A864" s="56" t="n"/>
      <c r="B864" s="58" t="n"/>
      <c r="C864" s="59" t="n"/>
      <c r="D864" s="56" t="n"/>
    </row>
    <row r="865">
      <c r="A865" s="56" t="n"/>
      <c r="B865" s="58" t="n"/>
      <c r="C865" s="59" t="n"/>
      <c r="D865" s="56" t="n"/>
    </row>
    <row r="866">
      <c r="A866" s="56" t="n"/>
      <c r="B866" s="58" t="n"/>
      <c r="C866" s="59" t="n"/>
      <c r="D866" s="56" t="n"/>
    </row>
    <row r="867">
      <c r="A867" s="56" t="n"/>
      <c r="B867" s="58" t="n"/>
      <c r="C867" s="59" t="n"/>
      <c r="D867" s="56" t="n"/>
    </row>
    <row r="868">
      <c r="A868" s="56" t="n"/>
      <c r="B868" s="58" t="n"/>
      <c r="C868" s="59" t="n"/>
      <c r="D868" s="56" t="n"/>
    </row>
    <row r="869">
      <c r="A869" s="56" t="n"/>
      <c r="B869" s="58" t="n"/>
      <c r="C869" s="59" t="n"/>
      <c r="D869" s="56" t="n"/>
    </row>
    <row r="870">
      <c r="A870" s="56" t="n"/>
      <c r="B870" s="58" t="n"/>
      <c r="C870" s="59" t="n"/>
      <c r="D870" s="56" t="n"/>
    </row>
    <row r="871">
      <c r="A871" s="56" t="n"/>
      <c r="B871" s="58" t="n"/>
      <c r="C871" s="59" t="n"/>
      <c r="D871" s="56" t="n"/>
    </row>
    <row r="872">
      <c r="A872" s="56" t="n"/>
      <c r="B872" s="58" t="n"/>
      <c r="C872" s="59" t="n"/>
      <c r="D872" s="56" t="n"/>
    </row>
    <row r="873">
      <c r="A873" s="56" t="n"/>
      <c r="B873" s="58" t="n"/>
      <c r="C873" s="59" t="n"/>
      <c r="D873" s="56" t="n"/>
    </row>
    <row r="874">
      <c r="A874" s="56" t="n"/>
      <c r="B874" s="58" t="n"/>
      <c r="C874" s="59" t="n"/>
      <c r="D874" s="56" t="n"/>
    </row>
    <row r="875">
      <c r="A875" s="56" t="n"/>
      <c r="B875" s="58" t="n"/>
      <c r="C875" s="59" t="n"/>
      <c r="D875" s="56" t="n"/>
    </row>
    <row r="876">
      <c r="A876" s="56" t="n"/>
      <c r="B876" s="58" t="n"/>
      <c r="C876" s="59" t="n"/>
      <c r="D876" s="56" t="n"/>
    </row>
    <row r="877">
      <c r="A877" s="56" t="n"/>
      <c r="B877" s="58" t="n"/>
      <c r="C877" s="59" t="n"/>
      <c r="D877" s="56" t="n"/>
    </row>
    <row r="878">
      <c r="A878" s="56" t="n"/>
      <c r="B878" s="58" t="n"/>
      <c r="C878" s="59" t="n"/>
      <c r="D878" s="56" t="n"/>
    </row>
    <row r="879">
      <c r="A879" s="56" t="n"/>
      <c r="B879" s="58" t="n"/>
      <c r="C879" s="59" t="n"/>
      <c r="D879" s="56" t="n"/>
    </row>
    <row r="880">
      <c r="A880" s="56" t="n"/>
      <c r="B880" s="58" t="n"/>
      <c r="C880" s="59" t="n"/>
      <c r="D880" s="56" t="n"/>
    </row>
    <row r="881">
      <c r="A881" s="56" t="n"/>
      <c r="B881" s="58" t="n"/>
      <c r="C881" s="59" t="n"/>
      <c r="D881" s="56" t="n"/>
    </row>
    <row r="882">
      <c r="A882" s="56" t="n"/>
      <c r="B882" s="58" t="n"/>
      <c r="C882" s="59" t="n"/>
      <c r="D882" s="56" t="n"/>
    </row>
    <row r="883">
      <c r="A883" s="56" t="n"/>
      <c r="B883" s="58" t="n"/>
      <c r="C883" s="59" t="n"/>
      <c r="D883" s="56" t="n"/>
    </row>
    <row r="884">
      <c r="A884" s="56" t="n"/>
      <c r="B884" s="58" t="n"/>
      <c r="C884" s="59" t="n"/>
      <c r="D884" s="56" t="n"/>
    </row>
    <row r="885">
      <c r="A885" s="56" t="n"/>
      <c r="B885" s="58" t="n"/>
      <c r="C885" s="59" t="n"/>
      <c r="D885" s="56" t="n"/>
    </row>
    <row r="886">
      <c r="A886" s="56" t="n"/>
      <c r="B886" s="58" t="n"/>
      <c r="C886" s="59" t="n"/>
      <c r="D886" s="56" t="n"/>
    </row>
    <row r="887">
      <c r="A887" s="56" t="n"/>
      <c r="B887" s="58" t="n"/>
      <c r="C887" s="59" t="n"/>
      <c r="D887" s="56" t="n"/>
    </row>
    <row r="888">
      <c r="A888" s="56" t="n"/>
      <c r="B888" s="58" t="n"/>
      <c r="C888" s="59" t="n"/>
      <c r="D888" s="56" t="n"/>
    </row>
    <row r="889">
      <c r="A889" s="56" t="n"/>
      <c r="B889" s="58" t="n"/>
      <c r="C889" s="59" t="n"/>
      <c r="D889" s="56" t="n"/>
    </row>
    <row r="890">
      <c r="A890" s="56" t="n"/>
      <c r="B890" s="58" t="n"/>
      <c r="C890" s="59" t="n"/>
      <c r="D890" s="56" t="n"/>
    </row>
    <row r="891">
      <c r="A891" s="56" t="n"/>
      <c r="B891" s="58" t="n"/>
      <c r="C891" s="59" t="n"/>
      <c r="D891" s="56" t="n"/>
    </row>
    <row r="892">
      <c r="A892" s="56" t="n"/>
      <c r="B892" s="58" t="n"/>
      <c r="C892" s="59" t="n"/>
      <c r="D892" s="56" t="n"/>
    </row>
    <row r="893">
      <c r="A893" s="56" t="n"/>
      <c r="B893" s="58" t="n"/>
      <c r="C893" s="59" t="n"/>
      <c r="D893" s="56" t="n"/>
    </row>
    <row r="894">
      <c r="A894" s="56" t="n"/>
      <c r="B894" s="58" t="n"/>
      <c r="C894" s="59" t="n"/>
      <c r="D894" s="56" t="n"/>
    </row>
    <row r="895">
      <c r="A895" s="56" t="n"/>
      <c r="B895" s="58" t="n"/>
      <c r="C895" s="59" t="n"/>
      <c r="D895" s="56" t="n"/>
    </row>
    <row r="896">
      <c r="A896" s="56" t="n"/>
      <c r="B896" s="58" t="n"/>
      <c r="C896" s="59" t="n"/>
      <c r="D896" s="56" t="n"/>
    </row>
    <row r="897">
      <c r="A897" s="56" t="n"/>
      <c r="B897" s="58" t="n"/>
      <c r="C897" s="59" t="n"/>
      <c r="D897" s="56" t="n"/>
    </row>
    <row r="898">
      <c r="A898" s="56" t="n"/>
      <c r="B898" s="58" t="n"/>
      <c r="C898" s="59" t="n"/>
      <c r="D898" s="56" t="n"/>
    </row>
    <row r="899">
      <c r="A899" s="56" t="n"/>
      <c r="B899" s="58" t="n"/>
      <c r="C899" s="59" t="n"/>
      <c r="D899" s="56" t="n"/>
    </row>
    <row r="900">
      <c r="A900" s="56" t="n"/>
      <c r="B900" s="58" t="n"/>
      <c r="C900" s="59" t="n"/>
      <c r="D900" s="56" t="n"/>
    </row>
    <row r="901">
      <c r="A901" s="56" t="n"/>
      <c r="B901" s="58" t="n"/>
      <c r="C901" s="59" t="n"/>
      <c r="D901" s="56" t="n"/>
    </row>
    <row r="902">
      <c r="A902" s="56" t="n"/>
      <c r="B902" s="58" t="n"/>
      <c r="C902" s="59" t="n"/>
      <c r="D902" s="56" t="n"/>
    </row>
    <row r="903">
      <c r="A903" s="56" t="n"/>
      <c r="B903" s="58" t="n"/>
      <c r="C903" s="59" t="n"/>
      <c r="D903" s="56" t="n"/>
    </row>
    <row r="904">
      <c r="A904" s="56" t="n"/>
      <c r="B904" s="58" t="n"/>
      <c r="C904" s="59" t="n"/>
      <c r="D904" s="56" t="n"/>
    </row>
    <row r="905">
      <c r="A905" s="56" t="n"/>
      <c r="B905" s="58" t="n"/>
      <c r="C905" s="59" t="n"/>
      <c r="D905" s="56" t="n"/>
    </row>
    <row r="906">
      <c r="A906" s="56" t="n"/>
      <c r="B906" s="58" t="n"/>
      <c r="C906" s="59" t="n"/>
      <c r="D906" s="56" t="n"/>
    </row>
    <row r="907">
      <c r="A907" s="56" t="n"/>
      <c r="B907" s="58" t="n"/>
      <c r="C907" s="59" t="n"/>
      <c r="D907" s="56" t="n"/>
    </row>
    <row r="908">
      <c r="A908" s="56" t="n"/>
      <c r="B908" s="58" t="n"/>
      <c r="C908" s="59" t="n"/>
      <c r="D908" s="56" t="n"/>
    </row>
    <row r="909">
      <c r="A909" s="56" t="n"/>
      <c r="B909" s="58" t="n"/>
      <c r="C909" s="59" t="n"/>
      <c r="D909" s="56" t="n"/>
    </row>
    <row r="910">
      <c r="A910" s="56" t="n"/>
      <c r="B910" s="58" t="n"/>
      <c r="C910" s="59" t="n"/>
      <c r="D910" s="56" t="n"/>
    </row>
    <row r="911">
      <c r="A911" s="56" t="n"/>
      <c r="B911" s="58" t="n"/>
      <c r="C911" s="59" t="n"/>
      <c r="D911" s="56" t="n"/>
    </row>
    <row r="912">
      <c r="A912" s="56" t="n"/>
      <c r="B912" s="58" t="n"/>
      <c r="C912" s="59" t="n"/>
      <c r="D912" s="56" t="n"/>
    </row>
    <row r="913">
      <c r="A913" s="56" t="n"/>
      <c r="B913" s="58" t="n"/>
      <c r="C913" s="59" t="n"/>
      <c r="D913" s="56" t="n"/>
    </row>
    <row r="914">
      <c r="A914" s="56" t="n"/>
      <c r="B914" s="58" t="n"/>
      <c r="C914" s="59" t="n"/>
      <c r="D914" s="56" t="n"/>
    </row>
    <row r="915">
      <c r="A915" s="56" t="n"/>
      <c r="B915" s="58" t="n"/>
      <c r="C915" s="59" t="n"/>
      <c r="D915" s="56" t="n"/>
    </row>
    <row r="916">
      <c r="A916" s="56" t="n"/>
      <c r="B916" s="58" t="n"/>
      <c r="C916" s="59" t="n"/>
      <c r="D916" s="56" t="n"/>
    </row>
    <row r="917">
      <c r="A917" s="56" t="n"/>
      <c r="B917" s="58" t="n"/>
      <c r="C917" s="59" t="n"/>
      <c r="D917" s="56" t="n"/>
    </row>
    <row r="918">
      <c r="A918" s="56" t="n"/>
      <c r="B918" s="58" t="n"/>
      <c r="C918" s="59" t="n"/>
      <c r="D918" s="56" t="n"/>
    </row>
    <row r="919">
      <c r="A919" s="56" t="n"/>
      <c r="B919" s="58" t="n"/>
      <c r="C919" s="59" t="n"/>
      <c r="D919" s="56" t="n"/>
    </row>
    <row r="920">
      <c r="A920" s="56" t="n"/>
      <c r="B920" s="58" t="n"/>
      <c r="C920" s="59" t="n"/>
      <c r="D920" s="56" t="n"/>
    </row>
    <row r="921">
      <c r="A921" s="56" t="n"/>
      <c r="B921" s="58" t="n"/>
      <c r="C921" s="59" t="n"/>
      <c r="D921" s="56" t="n"/>
    </row>
    <row r="922">
      <c r="A922" s="56" t="n"/>
      <c r="B922" s="58" t="n"/>
      <c r="C922" s="59" t="n"/>
      <c r="D922" s="56" t="n"/>
    </row>
    <row r="923">
      <c r="A923" s="56" t="n"/>
      <c r="B923" s="58" t="n"/>
      <c r="C923" s="59" t="n"/>
      <c r="D923" s="56" t="n"/>
    </row>
    <row r="924">
      <c r="A924" s="56" t="n"/>
      <c r="B924" s="58" t="n"/>
      <c r="C924" s="59" t="n"/>
      <c r="D924" s="56" t="n"/>
    </row>
    <row r="925">
      <c r="A925" s="56" t="n"/>
      <c r="B925" s="58" t="n"/>
      <c r="C925" s="59" t="n"/>
      <c r="D925" s="56" t="n"/>
    </row>
    <row r="926">
      <c r="A926" s="56" t="n"/>
      <c r="B926" s="58" t="n"/>
      <c r="C926" s="59" t="n"/>
      <c r="D926" s="56" t="n"/>
    </row>
    <row r="927">
      <c r="A927" s="56" t="n"/>
      <c r="B927" s="58" t="n"/>
      <c r="C927" s="59" t="n"/>
      <c r="D927" s="56" t="n"/>
    </row>
    <row r="928">
      <c r="A928" s="56" t="n"/>
      <c r="B928" s="58" t="n"/>
      <c r="C928" s="59" t="n"/>
      <c r="D928" s="56" t="n"/>
    </row>
    <row r="929">
      <c r="A929" s="56" t="n"/>
      <c r="B929" s="58" t="n"/>
      <c r="C929" s="59" t="n"/>
      <c r="D929" s="56" t="n"/>
    </row>
    <row r="930">
      <c r="A930" s="56" t="n"/>
      <c r="B930" s="58" t="n"/>
      <c r="C930" s="59" t="n"/>
      <c r="D930" s="56" t="n"/>
    </row>
    <row r="931">
      <c r="A931" s="56" t="n"/>
      <c r="B931" s="58" t="n"/>
      <c r="C931" s="59" t="n"/>
      <c r="D931" s="56" t="n"/>
    </row>
    <row r="932">
      <c r="A932" s="56" t="n"/>
      <c r="B932" s="58" t="n"/>
      <c r="C932" s="59" t="n"/>
      <c r="D932" s="56" t="n"/>
    </row>
    <row r="933">
      <c r="A933" s="56" t="n"/>
      <c r="B933" s="58" t="n"/>
      <c r="C933" s="59" t="n"/>
      <c r="D933" s="56" t="n"/>
    </row>
    <row r="934">
      <c r="A934" s="56" t="n"/>
      <c r="B934" s="58" t="n"/>
      <c r="C934" s="59" t="n"/>
      <c r="D934" s="56" t="n"/>
    </row>
    <row r="935">
      <c r="A935" s="56" t="n"/>
      <c r="B935" s="58" t="n"/>
      <c r="C935" s="59" t="n"/>
      <c r="D935" s="56" t="n"/>
    </row>
    <row r="936">
      <c r="A936" s="56" t="n"/>
      <c r="B936" s="58" t="n"/>
      <c r="C936" s="59" t="n"/>
      <c r="D936" s="56" t="n"/>
    </row>
    <row r="937">
      <c r="A937" s="56" t="n"/>
      <c r="B937" s="58" t="n"/>
      <c r="C937" s="59" t="n"/>
      <c r="D937" s="56" t="n"/>
    </row>
    <row r="938">
      <c r="A938" s="56" t="n"/>
      <c r="B938" s="58" t="n"/>
      <c r="C938" s="59" t="n"/>
      <c r="D938" s="56" t="n"/>
    </row>
    <row r="939">
      <c r="A939" s="56" t="n"/>
      <c r="B939" s="58" t="n"/>
      <c r="C939" s="59" t="n"/>
      <c r="D939" s="56" t="n"/>
    </row>
    <row r="940">
      <c r="A940" s="56" t="n"/>
      <c r="B940" s="58" t="n"/>
      <c r="C940" s="59" t="n"/>
      <c r="D940" s="56" t="n"/>
    </row>
    <row r="941">
      <c r="A941" s="56" t="n"/>
      <c r="B941" s="58" t="n"/>
      <c r="C941" s="59" t="n"/>
      <c r="D941" s="56" t="n"/>
    </row>
    <row r="942">
      <c r="A942" s="56" t="n"/>
      <c r="B942" s="58" t="n"/>
      <c r="C942" s="59" t="n"/>
      <c r="D942" s="56" t="n"/>
    </row>
    <row r="943">
      <c r="A943" s="56" t="n"/>
      <c r="B943" s="58" t="n"/>
      <c r="C943" s="59" t="n"/>
      <c r="D943" s="56" t="n"/>
    </row>
    <row r="944">
      <c r="A944" s="56" t="n"/>
      <c r="B944" s="58" t="n"/>
      <c r="C944" s="59" t="n"/>
      <c r="D944" s="56" t="n"/>
    </row>
    <row r="945">
      <c r="A945" s="56" t="n"/>
      <c r="B945" s="58" t="n"/>
      <c r="C945" s="59" t="n"/>
      <c r="D945" s="56" t="n"/>
    </row>
    <row r="946">
      <c r="A946" s="56" t="n"/>
      <c r="B946" s="58" t="n"/>
      <c r="C946" s="59" t="n"/>
      <c r="D946" s="56" t="n"/>
    </row>
    <row r="947">
      <c r="A947" s="56" t="n"/>
      <c r="B947" s="58" t="n"/>
      <c r="C947" s="59" t="n"/>
      <c r="D947" s="56" t="n"/>
    </row>
    <row r="948">
      <c r="A948" s="56" t="n"/>
      <c r="B948" s="58" t="n"/>
      <c r="C948" s="59" t="n"/>
      <c r="D948" s="56" t="n"/>
    </row>
    <row r="949">
      <c r="A949" s="56" t="n"/>
      <c r="B949" s="58" t="n"/>
      <c r="C949" s="59" t="n"/>
      <c r="D949" s="56" t="n"/>
    </row>
    <row r="950">
      <c r="A950" s="56" t="n"/>
      <c r="B950" s="58" t="n"/>
      <c r="C950" s="59" t="n"/>
      <c r="D950" s="56" t="n"/>
    </row>
    <row r="951">
      <c r="A951" s="56" t="n"/>
      <c r="B951" s="58" t="n"/>
      <c r="C951" s="59" t="n"/>
      <c r="D951" s="56" t="n"/>
    </row>
    <row r="952">
      <c r="A952" s="56" t="n"/>
      <c r="B952" s="58" t="n"/>
      <c r="C952" s="59" t="n"/>
      <c r="D952" s="56" t="n"/>
    </row>
    <row r="953">
      <c r="A953" s="56" t="n"/>
      <c r="B953" s="58" t="n"/>
      <c r="C953" s="59" t="n"/>
      <c r="D953" s="56" t="n"/>
    </row>
    <row r="954">
      <c r="A954" s="56" t="n"/>
      <c r="B954" s="58" t="n"/>
      <c r="C954" s="59" t="n"/>
      <c r="D954" s="56" t="n"/>
    </row>
    <row r="955">
      <c r="A955" s="56" t="n"/>
      <c r="B955" s="58" t="n"/>
      <c r="C955" s="59" t="n"/>
      <c r="D955" s="56" t="n"/>
    </row>
    <row r="956">
      <c r="A956" s="56" t="n"/>
      <c r="B956" s="58" t="n"/>
      <c r="C956" s="59" t="n"/>
      <c r="D956" s="56" t="n"/>
    </row>
    <row r="957">
      <c r="A957" s="56" t="n"/>
      <c r="B957" s="58" t="n"/>
      <c r="C957" s="59" t="n"/>
      <c r="D957" s="56" t="n"/>
    </row>
    <row r="958">
      <c r="A958" s="56" t="n"/>
      <c r="B958" s="58" t="n"/>
      <c r="C958" s="59" t="n"/>
      <c r="D958" s="56" t="n"/>
    </row>
    <row r="959">
      <c r="A959" s="56" t="n"/>
      <c r="B959" s="58" t="n"/>
      <c r="C959" s="59" t="n"/>
      <c r="D959" s="56" t="n"/>
    </row>
    <row r="960">
      <c r="A960" s="56" t="n"/>
      <c r="B960" s="58" t="n"/>
      <c r="C960" s="59" t="n"/>
      <c r="D960" s="56" t="n"/>
    </row>
    <row r="961">
      <c r="A961" s="56" t="n"/>
      <c r="B961" s="58" t="n"/>
      <c r="C961" s="59" t="n"/>
      <c r="D961" s="56" t="n"/>
    </row>
    <row r="962">
      <c r="A962" s="56" t="n"/>
      <c r="B962" s="58" t="n"/>
      <c r="C962" s="59" t="n"/>
      <c r="D962" s="56" t="n"/>
    </row>
    <row r="963">
      <c r="A963" s="56" t="n"/>
      <c r="B963" s="58" t="n"/>
      <c r="C963" s="59" t="n"/>
      <c r="D963" s="56" t="n"/>
    </row>
    <row r="964">
      <c r="A964" s="56" t="n"/>
      <c r="B964" s="58" t="n"/>
      <c r="C964" s="59" t="n"/>
      <c r="D964" s="56" t="n"/>
    </row>
    <row r="965">
      <c r="A965" s="56" t="n"/>
      <c r="B965" s="58" t="n"/>
      <c r="C965" s="59" t="n"/>
      <c r="D965" s="56" t="n"/>
    </row>
    <row r="966">
      <c r="A966" s="56" t="n"/>
      <c r="B966" s="58" t="n"/>
      <c r="C966" s="59" t="n"/>
      <c r="D966" s="56" t="n"/>
    </row>
    <row r="967">
      <c r="A967" s="56" t="n"/>
      <c r="B967" s="58" t="n"/>
      <c r="C967" s="59" t="n"/>
      <c r="D967" s="56" t="n"/>
    </row>
    <row r="968">
      <c r="A968" s="56" t="n"/>
      <c r="B968" s="58" t="n"/>
      <c r="C968" s="59" t="n"/>
      <c r="D968" s="56" t="n"/>
    </row>
    <row r="969">
      <c r="A969" s="56" t="n"/>
      <c r="B969" s="58" t="n"/>
      <c r="C969" s="59" t="n"/>
      <c r="D969" s="56" t="n"/>
    </row>
    <row r="970">
      <c r="A970" s="56" t="n"/>
      <c r="B970" s="58" t="n"/>
      <c r="C970" s="59" t="n"/>
      <c r="D970" s="56" t="n"/>
    </row>
    <row r="971">
      <c r="A971" s="56" t="n"/>
      <c r="B971" s="58" t="n"/>
      <c r="C971" s="59" t="n"/>
      <c r="D971" s="56" t="n"/>
    </row>
    <row r="972">
      <c r="A972" s="56" t="n"/>
      <c r="B972" s="58" t="n"/>
      <c r="C972" s="59" t="n"/>
      <c r="D972" s="56" t="n"/>
    </row>
    <row r="973">
      <c r="A973" s="56" t="n"/>
      <c r="B973" s="58" t="n"/>
      <c r="C973" s="59" t="n"/>
      <c r="D973" s="56" t="n"/>
    </row>
    <row r="974">
      <c r="A974" s="56" t="n"/>
      <c r="B974" s="58" t="n"/>
      <c r="C974" s="59" t="n"/>
      <c r="D974" s="56" t="n"/>
    </row>
    <row r="975">
      <c r="A975" s="56" t="n"/>
      <c r="B975" s="58" t="n"/>
      <c r="C975" s="59" t="n"/>
      <c r="D975" s="56" t="n"/>
    </row>
    <row r="976">
      <c r="A976" s="56" t="n"/>
      <c r="B976" s="58" t="n"/>
      <c r="C976" s="59" t="n"/>
      <c r="D976" s="56" t="n"/>
    </row>
    <row r="977">
      <c r="A977" s="56" t="n"/>
      <c r="B977" s="58" t="n"/>
      <c r="C977" s="59" t="n"/>
      <c r="D977" s="56" t="n"/>
    </row>
    <row r="978">
      <c r="A978" s="56" t="n"/>
      <c r="B978" s="58" t="n"/>
      <c r="C978" s="59" t="n"/>
      <c r="D978" s="56" t="n"/>
    </row>
    <row r="979">
      <c r="A979" s="56" t="n"/>
      <c r="B979" s="58" t="n"/>
      <c r="C979" s="59" t="n"/>
      <c r="D979" s="56" t="n"/>
    </row>
    <row r="980">
      <c r="A980" s="56" t="n"/>
      <c r="B980" s="58" t="n"/>
      <c r="C980" s="59" t="n"/>
      <c r="D980" s="56" t="n"/>
    </row>
    <row r="981">
      <c r="A981" s="56" t="n"/>
      <c r="B981" s="58" t="n"/>
      <c r="C981" s="59" t="n"/>
      <c r="D981" s="56" t="n"/>
    </row>
    <row r="982">
      <c r="A982" s="56" t="n"/>
      <c r="B982" s="58" t="n"/>
      <c r="C982" s="59" t="n"/>
      <c r="D982" s="56" t="n"/>
    </row>
    <row r="983">
      <c r="A983" s="56" t="n"/>
      <c r="B983" s="58" t="n"/>
      <c r="C983" s="59" t="n"/>
      <c r="D983" s="56" t="n"/>
    </row>
    <row r="984">
      <c r="A984" s="56" t="n"/>
      <c r="B984" s="58" t="n"/>
      <c r="C984" s="59" t="n"/>
      <c r="D984" s="56" t="n"/>
    </row>
    <row r="985">
      <c r="A985" s="56" t="n"/>
      <c r="B985" s="58" t="n"/>
      <c r="C985" s="59" t="n"/>
      <c r="D985" s="56" t="n"/>
    </row>
    <row r="986">
      <c r="A986" s="56" t="n"/>
      <c r="B986" s="58" t="n"/>
      <c r="C986" s="59" t="n"/>
      <c r="D986" s="56" t="n"/>
    </row>
    <row r="987">
      <c r="A987" s="56" t="n"/>
      <c r="B987" s="58" t="n"/>
      <c r="C987" s="59" t="n"/>
      <c r="D987" s="56" t="n"/>
    </row>
    <row r="988">
      <c r="A988" s="56" t="n"/>
      <c r="B988" s="58" t="n"/>
      <c r="C988" s="59" t="n"/>
      <c r="D988" s="56" t="n"/>
    </row>
    <row r="989">
      <c r="A989" s="56" t="n"/>
      <c r="B989" s="58" t="n"/>
      <c r="C989" s="59" t="n"/>
      <c r="D989" s="56" t="n"/>
    </row>
    <row r="990">
      <c r="A990" s="56" t="n"/>
      <c r="B990" s="58" t="n"/>
      <c r="C990" s="59" t="n"/>
      <c r="D990" s="56" t="n"/>
    </row>
    <row r="991">
      <c r="A991" s="56" t="n"/>
      <c r="B991" s="58" t="n"/>
      <c r="C991" s="59" t="n"/>
      <c r="D991" s="56" t="n"/>
    </row>
    <row r="992">
      <c r="A992" s="56" t="n"/>
      <c r="B992" s="58" t="n"/>
      <c r="C992" s="59" t="n"/>
      <c r="D992" s="56" t="n"/>
    </row>
    <row r="993">
      <c r="A993" s="56" t="n"/>
      <c r="B993" s="58" t="n"/>
      <c r="C993" s="59" t="n"/>
      <c r="D993" s="56" t="n"/>
    </row>
    <row r="994">
      <c r="A994" s="56" t="n"/>
      <c r="B994" s="58" t="n"/>
      <c r="C994" s="59" t="n"/>
      <c r="D994" s="56" t="n"/>
    </row>
    <row r="995">
      <c r="A995" s="56" t="n"/>
      <c r="B995" s="58" t="n"/>
      <c r="C995" s="59" t="n"/>
      <c r="D995" s="56" t="n"/>
    </row>
    <row r="996">
      <c r="A996" s="56" t="n"/>
      <c r="B996" s="58" t="n"/>
      <c r="C996" s="59" t="n"/>
      <c r="D996" s="56" t="n"/>
    </row>
    <row r="997">
      <c r="A997" s="56" t="n"/>
      <c r="B997" s="58" t="n"/>
      <c r="C997" s="59" t="n"/>
      <c r="D997" s="56" t="n"/>
    </row>
    <row r="998">
      <c r="A998" s="56" t="n"/>
      <c r="B998" s="58" t="n"/>
      <c r="C998" s="59" t="n"/>
      <c r="D998" s="56" t="n"/>
    </row>
    <row r="999">
      <c r="A999" s="56" t="n"/>
      <c r="B999" s="58" t="n"/>
      <c r="C999" s="59" t="n"/>
      <c r="D999" s="56" t="n"/>
    </row>
    <row r="1000">
      <c r="A1000" s="56" t="n"/>
      <c r="B1000" s="58" t="n"/>
      <c r="C1000" s="59" t="n"/>
      <c r="D1000" s="5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2026-06-29T10:09:16Z</dcterms:created>
  <dcterms:modified xsi:type="dcterms:W3CDTF">2026-06-29T10:09:17Z</dcterms:modified>
</cp:coreProperties>
</file>